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SalesData" sheetId="1" r:id="rId5"/>
    <sheet state="visible" name="Formula Applied" sheetId="2" r:id="rId6"/>
    <sheet state="visible" name="Assignment" sheetId="3" r:id="rId7"/>
  </sheets>
  <definedNames>
    <definedName hidden="1" localSheetId="1" name="_xlnm._FilterDatabase">'Formula Applied'!$A$1:$W$1000</definedName>
  </definedNames>
  <calcPr/>
</workbook>
</file>

<file path=xl/sharedStrings.xml><?xml version="1.0" encoding="utf-8"?>
<sst xmlns="http://schemas.openxmlformats.org/spreadsheetml/2006/main" count="449" uniqueCount="107">
  <si>
    <t>OrderID</t>
  </si>
  <si>
    <t>Salesperson</t>
  </si>
  <si>
    <t>Region</t>
  </si>
  <si>
    <t>Product</t>
  </si>
  <si>
    <t>Category</t>
  </si>
  <si>
    <t>Units</t>
  </si>
  <si>
    <t>UnitPrice</t>
  </si>
  <si>
    <t>Revenue</t>
  </si>
  <si>
    <t>O1001</t>
  </si>
  <si>
    <t>Asha</t>
  </si>
  <si>
    <t>North</t>
  </si>
  <si>
    <t>Laptop</t>
  </si>
  <si>
    <t>Electronics</t>
  </si>
  <si>
    <t>O1002</t>
  </si>
  <si>
    <t>Ravi</t>
  </si>
  <si>
    <t>South</t>
  </si>
  <si>
    <t>Mouse</t>
  </si>
  <si>
    <t>Accessories</t>
  </si>
  <si>
    <t>O1003</t>
  </si>
  <si>
    <t>Neha</t>
  </si>
  <si>
    <t>West</t>
  </si>
  <si>
    <t>Keyboard</t>
  </si>
  <si>
    <t>O1004</t>
  </si>
  <si>
    <t>Amit</t>
  </si>
  <si>
    <t>East</t>
  </si>
  <si>
    <t>Monitor</t>
  </si>
  <si>
    <t>O1005</t>
  </si>
  <si>
    <t>Printer</t>
  </si>
  <si>
    <t>Office</t>
  </si>
  <si>
    <t>O1006</t>
  </si>
  <si>
    <t>O1007</t>
  </si>
  <si>
    <t>Chair</t>
  </si>
  <si>
    <t>Furniture</t>
  </si>
  <si>
    <t>O1008</t>
  </si>
  <si>
    <t>Desk</t>
  </si>
  <si>
    <t>O1009</t>
  </si>
  <si>
    <t>O1010</t>
  </si>
  <si>
    <t>O1011</t>
  </si>
  <si>
    <t>O1012</t>
  </si>
  <si>
    <t>O1013</t>
  </si>
  <si>
    <t>O1014</t>
  </si>
  <si>
    <t>O1015</t>
  </si>
  <si>
    <t>O1016</t>
  </si>
  <si>
    <t>O1017</t>
  </si>
  <si>
    <t>O1018</t>
  </si>
  <si>
    <t>O1019</t>
  </si>
  <si>
    <t>O1020</t>
  </si>
  <si>
    <t>O1021</t>
  </si>
  <si>
    <t>O1022</t>
  </si>
  <si>
    <t>O1023</t>
  </si>
  <si>
    <t>O1024</t>
  </si>
  <si>
    <t>Category(Vlookup)</t>
  </si>
  <si>
    <t>Category Xlookup</t>
  </si>
  <si>
    <t>Revenue of Total (%)</t>
  </si>
  <si>
    <t>High/Low (Revenue &gt;=1000)</t>
  </si>
  <si>
    <t xml:space="preserve">Product </t>
  </si>
  <si>
    <t>SUM of Revenue by Region</t>
  </si>
  <si>
    <t>Total Revenue</t>
  </si>
  <si>
    <t>Average Revenue</t>
  </si>
  <si>
    <t>Count (Total Records)</t>
  </si>
  <si>
    <t>Revenue Cell (Count)</t>
  </si>
  <si>
    <t>NORTH Region(Orders)</t>
  </si>
  <si>
    <t>Total Revenue(Electronic Category)</t>
  </si>
  <si>
    <t>Average Revenue Sold by Asha</t>
  </si>
  <si>
    <t>Highest Revenue</t>
  </si>
  <si>
    <t>Lowest Revenue</t>
  </si>
  <si>
    <t>Google Sheets Assignment</t>
  </si>
  <si>
    <t>Action/ Answers</t>
  </si>
  <si>
    <t>1. Freeze the top row.</t>
  </si>
  <si>
    <t>Select Whole sheets - View - select Freeze</t>
  </si>
  <si>
    <t>2. Apply filter and sort Revenue descending.</t>
  </si>
  <si>
    <t>Select corners- Data- use Filters-Then Click revenue corner-  click Z to A for descending</t>
  </si>
  <si>
    <t>3. Calculate Total Revenue using SUM.</t>
  </si>
  <si>
    <t>=SUM(H2:H26)                  Value= 23240</t>
  </si>
  <si>
    <t>4. Calculate Average Revenue using AVERAGE.</t>
  </si>
  <si>
    <t>=AVARAGE(H2:H26)          AVG= 930</t>
  </si>
  <si>
    <t>5. Count total records using COUNTA.</t>
  </si>
  <si>
    <t>=COUNTA(H2:H26)           Value = 25</t>
  </si>
  <si>
    <t>6. Count numeric Revenue cells using COUNT.</t>
  </si>
  <si>
    <t>=COUNT(H2:H26)              Value = 25</t>
  </si>
  <si>
    <t>7. COUNTIF: Orders from North region.</t>
  </si>
  <si>
    <t>=COUNTIF(C2:C26,"North")</t>
  </si>
  <si>
    <t>8. SUMIF: Total Revenue for Electronics category.</t>
  </si>
  <si>
    <t>=SUMIF(E2:E26,"Electronics",H2:H26)  = 16120</t>
  </si>
  <si>
    <t>9. AVERAGEIF: Average Units sold by Asha.</t>
  </si>
  <si>
    <t>=AVERAGEIF(B2:B26,"Asha",F2:F26)    = 8</t>
  </si>
  <si>
    <t>10. Highlight Revenue &gt;1000 using Conditional Formatting.</t>
  </si>
  <si>
    <t>SELECT Whole Revenue - Format - Conditional Formatting-  Greater than- 1000- custom color- ok</t>
  </si>
  <si>
    <t>11. Apply Color Scale to Revenue column.</t>
  </si>
  <si>
    <t>SELECT Whole Revenue - Format - Conditional Formatting-  Defult-custom color- ok</t>
  </si>
  <si>
    <t>12. Identify duplicate OrderID values using Conditional Formatting.</t>
  </si>
  <si>
    <t>SELECT Order ID (A2:A6) - Format - Conditional Formating - CUstom Formula is- =COUNTIF(A2:A26, A2)&gt;1 - 0k   (Result - 1 Duplicate Value -O1024</t>
  </si>
  <si>
    <t>13. Create a lookup table (unique Product &amp; Category) and use VLOOKUP to return Category.</t>
  </si>
  <si>
    <t>=VLOOKUP(D3, $N$2:O$10, 2,FALSE)</t>
  </si>
  <si>
    <t>14. Repeat using XLOOKUP.</t>
  </si>
  <si>
    <t>=XLOOKUP(N2, N$2:N$8, O$2:O$8)</t>
  </si>
  <si>
    <t>15. Use QUERY to create a pivot: Sum of Revenue by Region.</t>
  </si>
  <si>
    <t>=QUERY(A1:H26, "SELECT C, SUM(H) WHERE C IS NOT NULL GROUP BY C",1)</t>
  </si>
  <si>
    <t>16. Use SORT formula to display data by Units descending.</t>
  </si>
  <si>
    <t>=SORT(A1:H26, 6, FALSE)</t>
  </si>
  <si>
    <t>17. Find highest and lowest Revenue (MAX/MIN).</t>
  </si>
  <si>
    <t>=MAX(H2:H25)/ =MIN(H2:H25)</t>
  </si>
  <si>
    <t>18. Calculate percentage contribution of each row Revenue to total.</t>
  </si>
  <si>
    <t>=IF(H2&gt;=1000,"High","Low")</t>
  </si>
  <si>
    <t>19. Use IF to label Revenue &gt;=1000 as High else Low.</t>
  </si>
  <si>
    <t>20. Protect formula cells (optional).</t>
  </si>
  <si>
    <t>Select Row/cell - Right click- View More Column Options- Protect Range- Enter Discription- Set Permissions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</si>
</sst>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00"/>
  </numFmts>
  <fonts count="1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/>
    <font>
      <b/>
      <color theme="0"/>
      <name val="Arial"/>
      <scheme val="minor"/>
    </font>
    <font>
      <color rgb="FFEFEFEF"/>
      <name val="Arial"/>
      <scheme val="minor"/>
    </font>
    <font>
      <color theme="0"/>
      <name val="Arial"/>
      <scheme val="minor"/>
    </font>
    <font>
      <b/>
      <color rgb="FFFFFFFF"/>
      <name val="Arial"/>
      <scheme val="minor"/>
    </font>
    <font>
      <color rgb="FFFFFFFF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  <font>
      <b/>
      <sz val="14.0"/>
      <color theme="1"/>
      <name val="Arial"/>
      <scheme val="minor"/>
    </font>
    <font>
      <b/>
      <sz val="12.0"/>
      <color theme="1"/>
      <name val="Arial"/>
      <scheme val="minor"/>
    </font>
    <font>
      <b/>
      <sz val="11.0"/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0B4AF"/>
        <bgColor rgb="FFF0B4AF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4285F4"/>
        <bgColor rgb="FF4285F4"/>
      </patternFill>
    </fill>
    <fill>
      <patternFill patternType="solid">
        <fgColor theme="1"/>
        <bgColor theme="1"/>
      </patternFill>
    </fill>
    <fill>
      <patternFill patternType="solid">
        <fgColor rgb="FFEFEFEF"/>
        <bgColor rgb="FFEFEFEF"/>
      </patternFill>
    </fill>
    <fill>
      <patternFill patternType="solid">
        <fgColor rgb="FF0000FF"/>
        <bgColor rgb="FF0000FF"/>
      </patternFill>
    </fill>
    <fill>
      <patternFill patternType="solid">
        <fgColor rgb="FFCCCCCC"/>
        <bgColor rgb="FFCCCCC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Font="1"/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readingOrder="0" vertical="bottom"/>
    </xf>
    <xf borderId="0" fillId="3" fontId="3" numFmtId="0" xfId="0" applyAlignment="1" applyFill="1" applyFont="1">
      <alignment horizontal="center" vertical="bottom"/>
    </xf>
    <xf borderId="1" fillId="2" fontId="4" numFmtId="0" xfId="0" applyAlignment="1" applyBorder="1" applyFont="1">
      <alignment vertical="bottom"/>
    </xf>
    <xf borderId="1" fillId="2" fontId="4" numFmtId="0" xfId="0" applyAlignment="1" applyBorder="1" applyFont="1">
      <alignment readingOrder="0" vertical="bottom"/>
    </xf>
    <xf borderId="1" fillId="2" fontId="2" numFmtId="0" xfId="0" applyAlignment="1" applyBorder="1" applyFont="1">
      <alignment readingOrder="0"/>
    </xf>
    <xf borderId="1" fillId="2" fontId="2" numFmtId="0" xfId="0" applyAlignment="1" applyBorder="1" applyFont="1">
      <alignment horizontal="center" readingOrder="0"/>
    </xf>
    <xf borderId="0" fillId="2" fontId="2" numFmtId="0" xfId="0" applyAlignment="1" applyFont="1">
      <alignment readingOrder="0"/>
    </xf>
    <xf borderId="2" fillId="2" fontId="2" numFmtId="0" xfId="0" applyAlignment="1" applyBorder="1" applyFont="1">
      <alignment horizontal="center" readingOrder="0"/>
    </xf>
    <xf borderId="3" fillId="0" fontId="5" numFmtId="0" xfId="0" applyBorder="1" applyFont="1"/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readingOrder="0" vertical="bottom"/>
    </xf>
    <xf borderId="1" fillId="0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vertical="bottom"/>
    </xf>
    <xf borderId="1" fillId="0" fontId="2" numFmtId="10" xfId="0" applyAlignment="1" applyBorder="1" applyFont="1" applyNumberFormat="1">
      <alignment horizontal="center"/>
    </xf>
    <xf borderId="1" fillId="4" fontId="2" numFmtId="0" xfId="0" applyAlignment="1" applyBorder="1" applyFill="1" applyFont="1">
      <alignment horizontal="center"/>
    </xf>
    <xf borderId="0" fillId="5" fontId="6" numFmtId="0" xfId="0" applyAlignment="1" applyFill="1" applyFont="1">
      <alignment horizontal="center" readingOrder="0"/>
    </xf>
    <xf borderId="1" fillId="0" fontId="2" numFmtId="0" xfId="0" applyBorder="1" applyFont="1"/>
    <xf borderId="1" fillId="0" fontId="2" numFmtId="0" xfId="0" applyAlignment="1" applyBorder="1" applyFont="1">
      <alignment horizontal="center"/>
    </xf>
    <xf borderId="0" fillId="6" fontId="7" numFmtId="0" xfId="0" applyAlignment="1" applyFill="1" applyFont="1">
      <alignment horizontal="center"/>
    </xf>
    <xf borderId="0" fillId="7" fontId="2" numFmtId="0" xfId="0" applyAlignment="1" applyFill="1" applyFont="1">
      <alignment horizontal="center"/>
    </xf>
    <xf borderId="0" fillId="6" fontId="8" numFmtId="164" xfId="0" applyAlignment="1" applyFont="1" applyNumberFormat="1">
      <alignment horizontal="center"/>
    </xf>
    <xf borderId="0" fillId="8" fontId="9" numFmtId="0" xfId="0" applyAlignment="1" applyFill="1" applyFont="1">
      <alignment horizontal="center" readingOrder="0"/>
    </xf>
    <xf borderId="0" fillId="6" fontId="10" numFmtId="0" xfId="0" applyAlignment="1" applyFont="1">
      <alignment horizontal="center"/>
    </xf>
    <xf borderId="0" fillId="5" fontId="9" numFmtId="0" xfId="0" applyAlignment="1" applyFont="1">
      <alignment horizontal="center" readingOrder="0"/>
    </xf>
    <xf borderId="0" fillId="6" fontId="8" numFmtId="0" xfId="0" applyAlignment="1" applyFont="1">
      <alignment horizontal="center"/>
    </xf>
    <xf borderId="0" fillId="7" fontId="10" numFmtId="0" xfId="0" applyAlignment="1" applyFont="1">
      <alignment horizontal="center"/>
    </xf>
    <xf borderId="0" fillId="5" fontId="8" numFmtId="0" xfId="0" applyAlignment="1" applyFont="1">
      <alignment horizontal="center" readingOrder="0"/>
    </xf>
    <xf borderId="0" fillId="9" fontId="8" numFmtId="0" xfId="0" applyAlignment="1" applyFill="1" applyFont="1">
      <alignment horizontal="center"/>
    </xf>
    <xf borderId="0" fillId="8" fontId="6" numFmtId="0" xfId="0" applyAlignment="1" applyFont="1">
      <alignment horizontal="center" readingOrder="0"/>
    </xf>
    <xf borderId="0" fillId="9" fontId="8" numFmtId="165" xfId="0" applyAlignment="1" applyFont="1" applyNumberFormat="1">
      <alignment horizontal="center"/>
    </xf>
    <xf borderId="0" fillId="7" fontId="2" numFmtId="0" xfId="0" applyFont="1"/>
    <xf borderId="0" fillId="9" fontId="6" numFmtId="0" xfId="0" applyAlignment="1" applyFont="1">
      <alignment horizontal="center"/>
    </xf>
    <xf borderId="0" fillId="5" fontId="1" numFmtId="0" xfId="0" applyAlignment="1" applyFont="1">
      <alignment horizontal="center" readingOrder="0"/>
    </xf>
    <xf borderId="0" fillId="10" fontId="1" numFmtId="0" xfId="0" applyFill="1" applyFont="1"/>
    <xf borderId="0" fillId="5" fontId="11" numFmtId="0" xfId="0" applyAlignment="1" applyFont="1">
      <alignment horizontal="center" readingOrder="0"/>
    </xf>
    <xf borderId="0" fillId="5" fontId="2" numFmtId="0" xfId="0" applyAlignment="1" applyFont="1">
      <alignment horizontal="center" readingOrder="0"/>
    </xf>
    <xf borderId="0" fillId="5" fontId="2" numFmtId="0" xfId="0" applyAlignment="1" applyFont="1">
      <alignment horizontal="center"/>
    </xf>
    <xf borderId="0" fillId="0" fontId="12" numFmtId="0" xfId="0" applyFont="1"/>
    <xf borderId="0" fillId="0" fontId="13" numFmtId="0" xfId="0" applyFont="1"/>
    <xf borderId="0" fillId="11" fontId="14" numFmtId="0" xfId="0" applyAlignment="1" applyFill="1" applyFont="1">
      <alignment readingOrder="0"/>
    </xf>
    <xf borderId="0" fillId="12" fontId="2" numFmtId="0" xfId="0" applyFill="1" applyFont="1"/>
    <xf borderId="0" fillId="12" fontId="15" numFmtId="0" xfId="0" applyAlignment="1" applyFont="1">
      <alignment readingOrder="0"/>
    </xf>
    <xf quotePrefix="1" borderId="0" fillId="12" fontId="15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solid">
          <fgColor rgb="FF4285F4"/>
          <bgColor rgb="FF4285F4"/>
        </patternFill>
      </fill>
      <border/>
    </dxf>
    <dxf>
      <font>
        <color rgb="FF000000"/>
      </font>
      <fill>
        <patternFill patternType="solid">
          <fgColor rgb="FF6FA8DC"/>
          <bgColor rgb="FF6FA8D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542925</xdr:colOff>
      <xdr:row>1</xdr:row>
      <xdr:rowOff>76200</xdr:rowOff>
    </xdr:from>
    <xdr:ext cx="4733925" cy="4143375"/>
    <xdr:grpSp>
      <xdr:nvGrpSpPr>
        <xdr:cNvPr id="2" name="Shape 2" title="Drawing"/>
        <xdr:cNvGrpSpPr/>
      </xdr:nvGrpSpPr>
      <xdr:grpSpPr>
        <a:xfrm>
          <a:off x="0" y="228675"/>
          <a:ext cx="4722600" cy="4080000"/>
          <a:chOff x="0" y="228675"/>
          <a:chExt cx="4722600" cy="4080000"/>
        </a:xfrm>
      </xdr:grpSpPr>
      <xdr:sp>
        <xdr:nvSpPr>
          <xdr:cNvPr id="3" name="Shape 3"/>
          <xdr:cNvSpPr txBox="1"/>
        </xdr:nvSpPr>
        <xdr:spPr>
          <a:xfrm>
            <a:off x="0" y="228675"/>
            <a:ext cx="1997700" cy="2262600"/>
          </a:xfrm>
          <a:prstGeom prst="rect">
            <a:avLst/>
          </a:prstGeom>
          <a:solidFill>
            <a:srgbClr val="FCE5CD"/>
          </a:solidFill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100"/>
              <a:t>SalesData</a:t>
            </a:r>
            <a:endParaRPr b="1" sz="1100"/>
          </a:p>
          <a:p>
            <a:pPr indent="-298450" lvl="0" marL="457200" rtl="0" algn="l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Pts val="1100"/>
              <a:buChar char="●"/>
            </a:pPr>
            <a:r>
              <a:rPr lang="en-US" sz="1100"/>
              <a:t>25 sample records</a:t>
            </a:r>
            <a:endParaRPr sz="1100"/>
          </a:p>
          <a:p>
            <a:pPr indent="-298450" lvl="0" marL="457200" rtl="0" algn="l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Pts val="1100"/>
              <a:buChar char="●"/>
            </a:pPr>
            <a:r>
              <a:rPr lang="en-US" sz="1100"/>
              <a:t>8 columns:</a:t>
            </a:r>
            <a:endParaRPr sz="1100"/>
          </a:p>
          <a:p>
            <a:pPr indent="-298450" lvl="1" marL="914400" rtl="0" algn="l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Pts val="1100"/>
              <a:buChar char="○"/>
            </a:pPr>
            <a:r>
              <a:rPr lang="en-US" sz="1100"/>
              <a:t>OrderID</a:t>
            </a:r>
            <a:endParaRPr sz="1100"/>
          </a:p>
          <a:p>
            <a:pPr indent="-298450" lvl="1" marL="914400" rtl="0" algn="l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Pts val="1100"/>
              <a:buChar char="○"/>
            </a:pPr>
            <a:r>
              <a:rPr lang="en-US" sz="1100"/>
              <a:t>Salesperson</a:t>
            </a:r>
            <a:endParaRPr sz="1100"/>
          </a:p>
          <a:p>
            <a:pPr indent="-298450" lvl="1" marL="914400" rtl="0" algn="l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Pts val="1100"/>
              <a:buChar char="○"/>
            </a:pPr>
            <a:r>
              <a:rPr lang="en-US" sz="1100"/>
              <a:t>Region</a:t>
            </a:r>
            <a:endParaRPr sz="1100"/>
          </a:p>
          <a:p>
            <a:pPr indent="-298450" lvl="1" marL="914400" rtl="0" algn="l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Pts val="1100"/>
              <a:buChar char="○"/>
            </a:pPr>
            <a:r>
              <a:rPr lang="en-US" sz="1100"/>
              <a:t>Product</a:t>
            </a:r>
            <a:endParaRPr sz="1100"/>
          </a:p>
          <a:p>
            <a:pPr indent="-298450" lvl="1" marL="914400" rtl="0" algn="l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Pts val="1100"/>
              <a:buChar char="○"/>
            </a:pPr>
            <a:r>
              <a:rPr lang="en-US" sz="1100"/>
              <a:t>Category</a:t>
            </a:r>
            <a:endParaRPr sz="1100"/>
          </a:p>
          <a:p>
            <a:pPr indent="-298450" lvl="1" marL="914400" rtl="0" algn="l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Pts val="1100"/>
              <a:buChar char="○"/>
            </a:pPr>
            <a:r>
              <a:rPr lang="en-US" sz="1100"/>
              <a:t>Units</a:t>
            </a:r>
            <a:endParaRPr sz="1100"/>
          </a:p>
          <a:p>
            <a:pPr indent="-298450" lvl="1" marL="914400" rtl="0" algn="l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Pts val="1100"/>
              <a:buChar char="○"/>
            </a:pPr>
            <a:r>
              <a:rPr lang="en-US" sz="1100"/>
              <a:t>UnitPrice</a:t>
            </a:r>
            <a:endParaRPr sz="1100"/>
          </a:p>
          <a:p>
            <a:pPr indent="-298450" lvl="1" marL="914400" rtl="0" algn="l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Pts val="1100"/>
              <a:buChar char="○"/>
            </a:pPr>
            <a:r>
              <a:rPr lang="en-US" sz="1100"/>
              <a:t>Revenue</a:t>
            </a:r>
            <a:endParaRPr sz="1100"/>
          </a:p>
          <a:p>
            <a:pPr indent="0" lvl="0" marL="0" rtl="0" algn="l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 txBox="1"/>
        </xdr:nvSpPr>
        <xdr:spPr>
          <a:xfrm>
            <a:off x="2135400" y="351375"/>
            <a:ext cx="2587200" cy="3957300"/>
          </a:xfrm>
          <a:prstGeom prst="rect">
            <a:avLst/>
          </a:prstGeom>
          <a:solidFill>
            <a:srgbClr val="D9EAD3"/>
          </a:solidFill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lnSpc>
                <a:spcPct val="115000"/>
              </a:lnSpc>
              <a:spcBef>
                <a:spcPts val="1200"/>
              </a:spcBef>
              <a:spcAft>
                <a:spcPts val="0"/>
              </a:spcAft>
              <a:buNone/>
            </a:pPr>
            <a:r>
              <a:rPr lang="en-US" sz="900"/>
              <a:t>20 practical tasks covering:</a:t>
            </a:r>
            <a:endParaRPr sz="900"/>
          </a:p>
          <a:p>
            <a:pPr indent="-266700" lvl="0" marL="457200" rtl="0" algn="l">
              <a:lnSpc>
                <a:spcPct val="115000"/>
              </a:lnSpc>
              <a:spcBef>
                <a:spcPts val="1200"/>
              </a:spcBef>
              <a:spcAft>
                <a:spcPts val="0"/>
              </a:spcAft>
              <a:buSzPts val="600"/>
              <a:buChar char="●"/>
            </a:pPr>
            <a:r>
              <a:rPr lang="en-US" sz="900"/>
              <a:t>✅ SUM</a:t>
            </a:r>
            <a:endParaRPr sz="900"/>
          </a:p>
          <a:p>
            <a:pPr indent="-266700" lvl="0" marL="45720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600"/>
              <a:buChar char="●"/>
            </a:pPr>
            <a:r>
              <a:rPr lang="en-US" sz="900"/>
              <a:t>✅ AVERAGE</a:t>
            </a:r>
            <a:endParaRPr sz="900"/>
          </a:p>
          <a:p>
            <a:pPr indent="-266700" lvl="0" marL="45720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600"/>
              <a:buChar char="●"/>
            </a:pPr>
            <a:r>
              <a:rPr lang="en-US" sz="900"/>
              <a:t>✅ SUMIF</a:t>
            </a:r>
            <a:endParaRPr sz="900"/>
          </a:p>
          <a:p>
            <a:pPr indent="-266700" lvl="0" marL="45720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600"/>
              <a:buChar char="●"/>
            </a:pPr>
            <a:r>
              <a:rPr lang="en-US" sz="900"/>
              <a:t>✅ AVERAGEIF</a:t>
            </a:r>
            <a:endParaRPr sz="900"/>
          </a:p>
          <a:p>
            <a:pPr indent="-266700" lvl="0" marL="45720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600"/>
              <a:buChar char="●"/>
            </a:pPr>
            <a:r>
              <a:rPr lang="en-US" sz="900"/>
              <a:t>✅ COUNT</a:t>
            </a:r>
            <a:endParaRPr sz="900"/>
          </a:p>
          <a:p>
            <a:pPr indent="-266700" lvl="0" marL="45720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600"/>
              <a:buChar char="●"/>
            </a:pPr>
            <a:r>
              <a:rPr lang="en-US" sz="900"/>
              <a:t>✅ COUNTA</a:t>
            </a:r>
            <a:endParaRPr sz="900"/>
          </a:p>
          <a:p>
            <a:pPr indent="-266700" lvl="0" marL="45720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600"/>
              <a:buChar char="●"/>
            </a:pPr>
            <a:r>
              <a:rPr lang="en-US" sz="900"/>
              <a:t>✅ COUNTIF</a:t>
            </a:r>
            <a:endParaRPr sz="900"/>
          </a:p>
          <a:p>
            <a:pPr indent="-266700" lvl="0" marL="45720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600"/>
              <a:buChar char="●"/>
            </a:pPr>
            <a:r>
              <a:rPr lang="en-US" sz="900"/>
              <a:t>✅ VLOOKUP</a:t>
            </a:r>
            <a:endParaRPr sz="900"/>
          </a:p>
          <a:p>
            <a:pPr indent="-266700" lvl="0" marL="45720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600"/>
              <a:buChar char="●"/>
            </a:pPr>
            <a:r>
              <a:rPr lang="en-US" sz="900"/>
              <a:t>✅ XLOOKUP</a:t>
            </a:r>
            <a:endParaRPr sz="900"/>
          </a:p>
          <a:p>
            <a:pPr indent="-266700" lvl="0" marL="45720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600"/>
              <a:buChar char="●"/>
            </a:pPr>
            <a:r>
              <a:rPr lang="en-US" sz="900"/>
              <a:t>✅ Conditional Formatting (rules)</a:t>
            </a:r>
            <a:endParaRPr sz="900"/>
          </a:p>
          <a:p>
            <a:pPr indent="-266700" lvl="0" marL="45720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600"/>
              <a:buChar char="●"/>
            </a:pPr>
            <a:r>
              <a:rPr lang="en-US" sz="900"/>
              <a:t>✅ Conditional Formatting (color scale)</a:t>
            </a:r>
            <a:endParaRPr sz="900"/>
          </a:p>
          <a:p>
            <a:pPr indent="-266700" lvl="0" marL="45720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600"/>
              <a:buChar char="●"/>
            </a:pPr>
            <a:r>
              <a:rPr lang="en-US" sz="900"/>
              <a:t>✅ Duplicate check</a:t>
            </a:r>
            <a:endParaRPr sz="900"/>
          </a:p>
          <a:p>
            <a:pPr indent="-266700" lvl="0" marL="45720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600"/>
              <a:buChar char="●"/>
            </a:pPr>
            <a:r>
              <a:rPr lang="en-US" sz="900"/>
              <a:t>✅ QUERY (Pivot)</a:t>
            </a:r>
            <a:endParaRPr sz="900"/>
          </a:p>
          <a:p>
            <a:pPr indent="-266700" lvl="0" marL="45720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600"/>
              <a:buChar char="●"/>
            </a:pPr>
            <a:r>
              <a:rPr lang="en-US" sz="900"/>
              <a:t>✅ SORT</a:t>
            </a:r>
            <a:endParaRPr sz="900"/>
          </a:p>
          <a:p>
            <a:pPr indent="-266700" lvl="0" marL="45720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600"/>
              <a:buChar char="●"/>
            </a:pPr>
            <a:r>
              <a:rPr lang="en-US" sz="900"/>
              <a:t>✅ Freeze rows</a:t>
            </a:r>
            <a:endParaRPr sz="900"/>
          </a:p>
          <a:p>
            <a:pPr indent="-266700" lvl="0" marL="45720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600"/>
              <a:buChar char="●"/>
            </a:pPr>
            <a:r>
              <a:rPr lang="en-US" sz="900"/>
              <a:t>✅ MAX/MIN</a:t>
            </a:r>
            <a:endParaRPr sz="900"/>
          </a:p>
          <a:p>
            <a:pPr indent="-266700" lvl="0" marL="45720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600"/>
              <a:buChar char="●"/>
            </a:pPr>
            <a:r>
              <a:rPr lang="en-US" sz="900"/>
              <a:t>✅ IF</a:t>
            </a:r>
            <a:endParaRPr sz="900"/>
          </a:p>
          <a:p>
            <a:pPr indent="-266700" lvl="0" marL="45720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600"/>
              <a:buChar char="●"/>
            </a:pPr>
            <a:r>
              <a:rPr lang="en-US" sz="900"/>
              <a:t>✅ Percentage calculations</a:t>
            </a:r>
            <a:endParaRPr sz="900"/>
          </a:p>
          <a:p>
            <a:pPr indent="-266700" lvl="0" marL="45720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600"/>
              <a:buChar char="●"/>
            </a:pPr>
            <a:r>
              <a:rPr lang="en-US" sz="900"/>
              <a:t>✅ Filtering</a:t>
            </a:r>
            <a:endParaRPr sz="900"/>
          </a:p>
          <a:p>
            <a:pPr indent="-266700" lvl="0" marL="45720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600"/>
              <a:buChar char="●"/>
            </a:pPr>
            <a:r>
              <a:rPr lang="en-US" sz="900"/>
              <a:t>✅ Formula protection </a:t>
            </a:r>
            <a:endParaRPr sz="900"/>
          </a:p>
          <a:p>
            <a:pPr indent="0" lvl="0" marL="0" rtl="0" algn="l">
              <a:spcBef>
                <a:spcPts val="1200"/>
              </a:spcBef>
              <a:spcAft>
                <a:spcPts val="0"/>
              </a:spcAft>
              <a:buNone/>
            </a:pPr>
            <a:r>
              <a:t/>
            </a:r>
            <a:endParaRPr sz="900"/>
          </a:p>
        </xdr:txBody>
      </xdr:sp>
      <xdr:sp>
        <xdr:nvSpPr>
          <xdr:cNvPr id="5" name="Shape 5"/>
          <xdr:cNvSpPr txBox="1"/>
        </xdr:nvSpPr>
        <xdr:spPr>
          <a:xfrm>
            <a:off x="0" y="2571750"/>
            <a:ext cx="1929600" cy="1539300"/>
          </a:xfrm>
          <a:prstGeom prst="rect">
            <a:avLst/>
          </a:prstGeom>
          <a:solidFill>
            <a:srgbClr val="F4CCCC"/>
          </a:solidFill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/>
              <a:t>Make a duplicate of this GS. </a:t>
            </a:r>
            <a:endParaRPr sz="11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/>
              <a:t>Rename it: PIIT2 - GS Assignment - xxxxx </a:t>
            </a:r>
            <a:endParaRPr sz="11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/>
              <a:t>(xxx- first name)</a:t>
            </a:r>
            <a:endParaRPr sz="11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/>
              <a:t>Give commentator rights to everyone. Share it with PIIT Team/ Mandal</a:t>
            </a:r>
            <a:endParaRPr sz="1100"/>
          </a:p>
        </xdr:txBody>
      </xdr: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4" width="7.63"/>
    <col customWidth="1" min="5" max="5" width="19.0"/>
    <col customWidth="1" min="6" max="6" width="5.0"/>
    <col customWidth="1" min="7" max="26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>
        <v>5.0</v>
      </c>
      <c r="G2" s="2">
        <v>500.0</v>
      </c>
      <c r="H2" s="2">
        <v>2500.0</v>
      </c>
    </row>
    <row r="3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>
        <v>20.0</v>
      </c>
      <c r="G3" s="2">
        <v>20.0</v>
      </c>
      <c r="H3" s="2">
        <v>400.0</v>
      </c>
    </row>
    <row r="4">
      <c r="A4" s="2" t="s">
        <v>18</v>
      </c>
      <c r="B4" s="2" t="s">
        <v>19</v>
      </c>
      <c r="C4" s="2" t="s">
        <v>20</v>
      </c>
      <c r="D4" s="2" t="s">
        <v>21</v>
      </c>
      <c r="E4" s="2" t="s">
        <v>17</v>
      </c>
      <c r="F4" s="2">
        <v>15.0</v>
      </c>
      <c r="G4" s="2">
        <v>30.0</v>
      </c>
      <c r="H4" s="2">
        <v>450.0</v>
      </c>
    </row>
    <row r="5">
      <c r="A5" s="2" t="s">
        <v>22</v>
      </c>
      <c r="B5" s="2" t="s">
        <v>23</v>
      </c>
      <c r="C5" s="2" t="s">
        <v>24</v>
      </c>
      <c r="D5" s="2" t="s">
        <v>25</v>
      </c>
      <c r="E5" s="2" t="s">
        <v>12</v>
      </c>
      <c r="F5" s="2">
        <v>7.0</v>
      </c>
      <c r="G5" s="2">
        <v>180.0</v>
      </c>
      <c r="H5" s="2">
        <v>1260.0</v>
      </c>
    </row>
    <row r="6">
      <c r="A6" s="2" t="s">
        <v>26</v>
      </c>
      <c r="B6" s="2" t="s">
        <v>9</v>
      </c>
      <c r="C6" s="2" t="s">
        <v>10</v>
      </c>
      <c r="D6" s="2" t="s">
        <v>27</v>
      </c>
      <c r="E6" s="2" t="s">
        <v>28</v>
      </c>
      <c r="F6" s="2">
        <v>3.0</v>
      </c>
      <c r="G6" s="2">
        <v>220.0</v>
      </c>
      <c r="H6" s="2">
        <v>660.0</v>
      </c>
    </row>
    <row r="7">
      <c r="A7" s="2" t="s">
        <v>29</v>
      </c>
      <c r="B7" s="2" t="s">
        <v>14</v>
      </c>
      <c r="C7" s="2" t="s">
        <v>20</v>
      </c>
      <c r="D7" s="2" t="s">
        <v>11</v>
      </c>
      <c r="E7" s="2" t="s">
        <v>12</v>
      </c>
      <c r="F7" s="2">
        <v>2.0</v>
      </c>
      <c r="G7" s="2">
        <v>500.0</v>
      </c>
      <c r="H7" s="2">
        <v>1000.0</v>
      </c>
    </row>
    <row r="8">
      <c r="A8" s="2" t="s">
        <v>30</v>
      </c>
      <c r="B8" s="2" t="s">
        <v>19</v>
      </c>
      <c r="C8" s="2" t="s">
        <v>15</v>
      </c>
      <c r="D8" s="2" t="s">
        <v>31</v>
      </c>
      <c r="E8" s="2" t="s">
        <v>32</v>
      </c>
      <c r="F8" s="2">
        <v>6.0</v>
      </c>
      <c r="G8" s="2">
        <v>90.0</v>
      </c>
      <c r="H8" s="2">
        <v>540.0</v>
      </c>
    </row>
    <row r="9">
      <c r="A9" s="2" t="s">
        <v>33</v>
      </c>
      <c r="B9" s="2" t="s">
        <v>23</v>
      </c>
      <c r="C9" s="2" t="s">
        <v>24</v>
      </c>
      <c r="D9" s="2" t="s">
        <v>34</v>
      </c>
      <c r="E9" s="2" t="s">
        <v>32</v>
      </c>
      <c r="F9" s="2">
        <v>2.0</v>
      </c>
      <c r="G9" s="2">
        <v>200.0</v>
      </c>
      <c r="H9" s="2">
        <v>400.0</v>
      </c>
    </row>
    <row r="10">
      <c r="A10" s="2" t="s">
        <v>35</v>
      </c>
      <c r="B10" s="2" t="s">
        <v>9</v>
      </c>
      <c r="C10" s="2" t="s">
        <v>20</v>
      </c>
      <c r="D10" s="2" t="s">
        <v>16</v>
      </c>
      <c r="E10" s="2" t="s">
        <v>17</v>
      </c>
      <c r="F10" s="2">
        <v>25.0</v>
      </c>
      <c r="G10" s="2">
        <v>20.0</v>
      </c>
      <c r="H10" s="2">
        <v>500.0</v>
      </c>
    </row>
    <row r="11">
      <c r="A11" s="2" t="s">
        <v>36</v>
      </c>
      <c r="B11" s="2" t="s">
        <v>14</v>
      </c>
      <c r="C11" s="2" t="s">
        <v>10</v>
      </c>
      <c r="D11" s="2" t="s">
        <v>25</v>
      </c>
      <c r="E11" s="2" t="s">
        <v>12</v>
      </c>
      <c r="F11" s="2">
        <v>4.0</v>
      </c>
      <c r="G11" s="2">
        <v>180.0</v>
      </c>
      <c r="H11" s="2">
        <v>720.0</v>
      </c>
    </row>
    <row r="12">
      <c r="A12" s="2" t="s">
        <v>37</v>
      </c>
      <c r="B12" s="2" t="s">
        <v>19</v>
      </c>
      <c r="C12" s="2" t="s">
        <v>24</v>
      </c>
      <c r="D12" s="2" t="s">
        <v>11</v>
      </c>
      <c r="E12" s="2" t="s">
        <v>12</v>
      </c>
      <c r="F12" s="2">
        <v>3.0</v>
      </c>
      <c r="G12" s="2">
        <v>500.0</v>
      </c>
      <c r="H12" s="2">
        <v>1500.0</v>
      </c>
    </row>
    <row r="13">
      <c r="A13" s="2" t="s">
        <v>38</v>
      </c>
      <c r="B13" s="2" t="s">
        <v>23</v>
      </c>
      <c r="C13" s="2" t="s">
        <v>15</v>
      </c>
      <c r="D13" s="2" t="s">
        <v>27</v>
      </c>
      <c r="E13" s="2" t="s">
        <v>28</v>
      </c>
      <c r="F13" s="2">
        <v>4.0</v>
      </c>
      <c r="G13" s="2">
        <v>220.0</v>
      </c>
      <c r="H13" s="2">
        <v>880.0</v>
      </c>
    </row>
    <row r="14">
      <c r="A14" s="2" t="s">
        <v>39</v>
      </c>
      <c r="B14" s="2" t="s">
        <v>9</v>
      </c>
      <c r="C14" s="2" t="s">
        <v>10</v>
      </c>
      <c r="D14" s="2" t="s">
        <v>21</v>
      </c>
      <c r="E14" s="2" t="s">
        <v>17</v>
      </c>
      <c r="F14" s="2">
        <v>10.0</v>
      </c>
      <c r="G14" s="2">
        <v>30.0</v>
      </c>
      <c r="H14" s="2">
        <v>300.0</v>
      </c>
    </row>
    <row r="15">
      <c r="A15" s="2" t="s">
        <v>40</v>
      </c>
      <c r="B15" s="2" t="s">
        <v>14</v>
      </c>
      <c r="C15" s="2" t="s">
        <v>24</v>
      </c>
      <c r="D15" s="2" t="s">
        <v>34</v>
      </c>
      <c r="E15" s="2" t="s">
        <v>32</v>
      </c>
      <c r="F15" s="2">
        <v>1.0</v>
      </c>
      <c r="G15" s="2">
        <v>200.0</v>
      </c>
      <c r="H15" s="2">
        <v>200.0</v>
      </c>
    </row>
    <row r="16">
      <c r="A16" s="2" t="s">
        <v>41</v>
      </c>
      <c r="B16" s="2" t="s">
        <v>19</v>
      </c>
      <c r="C16" s="2" t="s">
        <v>20</v>
      </c>
      <c r="D16" s="2" t="s">
        <v>31</v>
      </c>
      <c r="E16" s="2" t="s">
        <v>32</v>
      </c>
      <c r="F16" s="2">
        <v>8.0</v>
      </c>
      <c r="G16" s="2">
        <v>90.0</v>
      </c>
      <c r="H16" s="2">
        <v>720.0</v>
      </c>
    </row>
    <row r="17">
      <c r="A17" s="2" t="s">
        <v>42</v>
      </c>
      <c r="B17" s="2" t="s">
        <v>23</v>
      </c>
      <c r="C17" s="2" t="s">
        <v>10</v>
      </c>
      <c r="D17" s="2" t="s">
        <v>11</v>
      </c>
      <c r="E17" s="2" t="s">
        <v>12</v>
      </c>
      <c r="F17" s="2">
        <v>6.0</v>
      </c>
      <c r="G17" s="2">
        <v>500.0</v>
      </c>
      <c r="H17" s="2">
        <v>3000.0</v>
      </c>
    </row>
    <row r="18">
      <c r="A18" s="2" t="s">
        <v>43</v>
      </c>
      <c r="B18" s="2" t="s">
        <v>9</v>
      </c>
      <c r="C18" s="2" t="s">
        <v>15</v>
      </c>
      <c r="D18" s="2" t="s">
        <v>25</v>
      </c>
      <c r="E18" s="2" t="s">
        <v>12</v>
      </c>
      <c r="F18" s="2">
        <v>5.0</v>
      </c>
      <c r="G18" s="2">
        <v>180.0</v>
      </c>
      <c r="H18" s="2">
        <v>900.0</v>
      </c>
    </row>
    <row r="19">
      <c r="A19" s="2" t="s">
        <v>44</v>
      </c>
      <c r="B19" s="2" t="s">
        <v>14</v>
      </c>
      <c r="C19" s="2" t="s">
        <v>20</v>
      </c>
      <c r="D19" s="2" t="s">
        <v>27</v>
      </c>
      <c r="E19" s="2" t="s">
        <v>28</v>
      </c>
      <c r="F19" s="2">
        <v>2.0</v>
      </c>
      <c r="G19" s="2">
        <v>220.0</v>
      </c>
      <c r="H19" s="2">
        <v>440.0</v>
      </c>
    </row>
    <row r="20">
      <c r="A20" s="2" t="s">
        <v>45</v>
      </c>
      <c r="B20" s="2" t="s">
        <v>19</v>
      </c>
      <c r="C20" s="2" t="s">
        <v>24</v>
      </c>
      <c r="D20" s="2" t="s">
        <v>16</v>
      </c>
      <c r="E20" s="2" t="s">
        <v>17</v>
      </c>
      <c r="F20" s="2">
        <v>18.0</v>
      </c>
      <c r="G20" s="2">
        <v>20.0</v>
      </c>
      <c r="H20" s="2">
        <v>360.0</v>
      </c>
    </row>
    <row r="21">
      <c r="A21" s="2" t="s">
        <v>46</v>
      </c>
      <c r="B21" s="2" t="s">
        <v>23</v>
      </c>
      <c r="C21" s="2" t="s">
        <v>15</v>
      </c>
      <c r="D21" s="2" t="s">
        <v>21</v>
      </c>
      <c r="E21" s="2" t="s">
        <v>17</v>
      </c>
      <c r="F21" s="2">
        <v>14.0</v>
      </c>
      <c r="G21" s="2">
        <v>30.0</v>
      </c>
      <c r="H21" s="2">
        <v>420.0</v>
      </c>
    </row>
    <row r="22">
      <c r="A22" s="3" t="s">
        <v>13</v>
      </c>
      <c r="B22" s="3" t="s">
        <v>14</v>
      </c>
      <c r="C22" s="3" t="s">
        <v>15</v>
      </c>
      <c r="D22" s="3" t="s">
        <v>16</v>
      </c>
      <c r="E22" s="4" t="s">
        <v>17</v>
      </c>
      <c r="F22" s="3">
        <v>20.0</v>
      </c>
      <c r="G22" s="3">
        <v>20.0</v>
      </c>
      <c r="H22" s="5">
        <v>400.0</v>
      </c>
      <c r="I22" s="3" t="str">
        <f t="array" ref="I22">XLOOKUP(D22, LookupTable!A:A, LookupTable!B:B, "")
</f>
        <v>#REF!</v>
      </c>
    </row>
    <row r="23">
      <c r="A23" s="2" t="s">
        <v>47</v>
      </c>
      <c r="B23" s="2" t="s">
        <v>9</v>
      </c>
      <c r="C23" s="2" t="s">
        <v>10</v>
      </c>
      <c r="D23" s="2" t="s">
        <v>34</v>
      </c>
      <c r="E23" s="2" t="s">
        <v>32</v>
      </c>
      <c r="F23" s="2">
        <v>2.0</v>
      </c>
      <c r="G23" s="2">
        <v>200.0</v>
      </c>
      <c r="H23" s="2">
        <v>400.0</v>
      </c>
    </row>
    <row r="24">
      <c r="A24" s="2" t="s">
        <v>48</v>
      </c>
      <c r="B24" s="2" t="s">
        <v>14</v>
      </c>
      <c r="C24" s="2" t="s">
        <v>20</v>
      </c>
      <c r="D24" s="2" t="s">
        <v>31</v>
      </c>
      <c r="E24" s="2" t="s">
        <v>32</v>
      </c>
      <c r="F24" s="2">
        <v>5.0</v>
      </c>
      <c r="G24" s="2">
        <v>90.0</v>
      </c>
      <c r="H24" s="2">
        <v>450.0</v>
      </c>
    </row>
    <row r="25">
      <c r="A25" s="2" t="s">
        <v>49</v>
      </c>
      <c r="B25" s="2" t="s">
        <v>19</v>
      </c>
      <c r="C25" s="2" t="s">
        <v>15</v>
      </c>
      <c r="D25" s="2" t="s">
        <v>11</v>
      </c>
      <c r="E25" s="2" t="s">
        <v>12</v>
      </c>
      <c r="F25" s="2">
        <v>4.0</v>
      </c>
      <c r="G25" s="2">
        <v>500.0</v>
      </c>
      <c r="H25" s="2">
        <v>2000.0</v>
      </c>
    </row>
    <row r="26">
      <c r="A26" s="2" t="s">
        <v>50</v>
      </c>
      <c r="B26" s="2" t="s">
        <v>23</v>
      </c>
      <c r="C26" s="2" t="s">
        <v>24</v>
      </c>
      <c r="D26" s="2" t="s">
        <v>25</v>
      </c>
      <c r="E26" s="2" t="s">
        <v>12</v>
      </c>
      <c r="F26" s="2">
        <v>9.0</v>
      </c>
      <c r="G26" s="2">
        <v>180.0</v>
      </c>
      <c r="H26" s="2">
        <v>1620.0</v>
      </c>
    </row>
    <row r="27">
      <c r="A27" s="2" t="s">
        <v>50</v>
      </c>
      <c r="B27" s="2" t="s">
        <v>23</v>
      </c>
      <c r="C27" s="2" t="s">
        <v>24</v>
      </c>
      <c r="D27" s="2" t="s">
        <v>25</v>
      </c>
      <c r="E27" s="2" t="s">
        <v>12</v>
      </c>
      <c r="F27" s="2">
        <v>9.0</v>
      </c>
      <c r="G27" s="2">
        <v>180.0</v>
      </c>
      <c r="H27" s="2">
        <v>1620.0</v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63"/>
    <col customWidth="1" min="2" max="2" width="10.63"/>
    <col customWidth="1" min="3" max="3" width="8.25"/>
    <col customWidth="1" min="4" max="4" width="9.5"/>
    <col customWidth="1" min="5" max="5" width="14.0"/>
    <col customWidth="1" min="6" max="6" width="9.5"/>
    <col customWidth="1" min="7" max="7" width="12.13"/>
    <col customWidth="1" min="8" max="8" width="13.38"/>
    <col customWidth="1" min="9" max="9" width="14.0"/>
    <col customWidth="1" min="10" max="10" width="20.0"/>
    <col customWidth="1" min="11" max="11" width="26.5"/>
    <col customWidth="1" min="12" max="12" width="29.75"/>
    <col customWidth="1" min="16" max="16" width="21.5"/>
    <col customWidth="1" min="18" max="18" width="12.5"/>
  </cols>
  <sheetData>
    <row r="1">
      <c r="A1" s="6" t="s">
        <v>0</v>
      </c>
      <c r="B1" s="6" t="s">
        <v>1</v>
      </c>
      <c r="C1" s="6" t="s">
        <v>2</v>
      </c>
      <c r="D1" s="6" t="s">
        <v>3</v>
      </c>
      <c r="E1" s="7" t="s">
        <v>51</v>
      </c>
      <c r="F1" s="6" t="s">
        <v>5</v>
      </c>
      <c r="G1" s="6" t="s">
        <v>6</v>
      </c>
      <c r="H1" s="6" t="s">
        <v>7</v>
      </c>
      <c r="I1" s="7" t="s">
        <v>52</v>
      </c>
      <c r="J1" s="8" t="s">
        <v>53</v>
      </c>
      <c r="K1" s="9" t="s">
        <v>54</v>
      </c>
      <c r="L1" s="10"/>
      <c r="N1" s="8" t="s">
        <v>55</v>
      </c>
      <c r="O1" s="8" t="s">
        <v>4</v>
      </c>
      <c r="P1" s="8" t="s">
        <v>52</v>
      </c>
      <c r="R1" s="11" t="s">
        <v>56</v>
      </c>
      <c r="S1" s="12"/>
    </row>
    <row r="2">
      <c r="A2" s="13" t="s">
        <v>42</v>
      </c>
      <c r="B2" s="13" t="s">
        <v>23</v>
      </c>
      <c r="C2" s="13" t="s">
        <v>10</v>
      </c>
      <c r="D2" s="13" t="s">
        <v>11</v>
      </c>
      <c r="E2" s="14" t="str">
        <f t="shared" ref="E2:E25" si="1">VLOOKUP(D3, $N$2:O$10, 2,FALSE)</f>
        <v>Electronics</v>
      </c>
      <c r="F2" s="15">
        <v>6.0</v>
      </c>
      <c r="G2" s="16">
        <v>500.0</v>
      </c>
      <c r="H2" s="16">
        <v>3000.0</v>
      </c>
      <c r="I2" s="14" t="str">
        <f t="shared" ref="I2:I26" si="2">XLOOKUP(D2, D$2:D$26, E$2:E$26)</f>
        <v>Electronics</v>
      </c>
      <c r="J2" s="17">
        <f t="shared" ref="J2:J26" si="3">H2/SUM(H2:H26)</f>
        <v>0.1290877797</v>
      </c>
      <c r="K2" s="18" t="str">
        <f t="shared" ref="K2:K20" si="4">IF(H2&gt;=1000,"High","Low")</f>
        <v>High</v>
      </c>
      <c r="L2" s="19" t="s">
        <v>57</v>
      </c>
      <c r="N2" s="20" t="str">
        <f t="array" ref="N2:O8">UNIQUE('Copy of SalesData'!D2:E27)</f>
        <v>Laptop</v>
      </c>
      <c r="O2" s="20" t="s">
        <v>12</v>
      </c>
      <c r="P2" s="21" t="str">
        <f t="shared" ref="P2:P8" si="5">XLOOKUP(N2, N$2:N$8, O$2:O$8)</f>
        <v>Electronics</v>
      </c>
      <c r="R2" s="20" t="str">
        <f>IFERROR(__xludf.DUMMYFUNCTION("QUERY(A1:H26, ""SELECT C, SUM(H) WHERE C IS NOT NULL GROUP BY C"",1)"),"Region")</f>
        <v>Region</v>
      </c>
      <c r="S2" s="20" t="str">
        <f>IFERROR(__xludf.DUMMYFUNCTION("""COMPUTED_VALUE"""),"sum Revenue")</f>
        <v>sum Revenue</v>
      </c>
    </row>
    <row r="3">
      <c r="A3" s="13" t="s">
        <v>8</v>
      </c>
      <c r="B3" s="13" t="s">
        <v>9</v>
      </c>
      <c r="C3" s="13" t="s">
        <v>10</v>
      </c>
      <c r="D3" s="13" t="s">
        <v>11</v>
      </c>
      <c r="E3" s="14" t="str">
        <f t="shared" si="1"/>
        <v>Electronics</v>
      </c>
      <c r="F3" s="16">
        <v>5.0</v>
      </c>
      <c r="G3" s="16">
        <v>500.0</v>
      </c>
      <c r="H3" s="16">
        <v>2500.0</v>
      </c>
      <c r="I3" s="14" t="str">
        <f t="shared" si="2"/>
        <v>Electronics</v>
      </c>
      <c r="J3" s="17">
        <f t="shared" si="3"/>
        <v>0.1235177866</v>
      </c>
      <c r="K3" s="18" t="str">
        <f t="shared" si="4"/>
        <v>High</v>
      </c>
      <c r="L3" s="22">
        <f>sum(H2:H26)</f>
        <v>23240</v>
      </c>
      <c r="N3" s="20" t="s">
        <v>16</v>
      </c>
      <c r="O3" s="20" t="s">
        <v>17</v>
      </c>
      <c r="P3" s="21" t="str">
        <f t="shared" si="5"/>
        <v>Accessories</v>
      </c>
      <c r="R3" s="20" t="str">
        <f>IFERROR(__xludf.DUMMYFUNCTION("""COMPUTED_VALUE"""),"East")</f>
        <v>East</v>
      </c>
      <c r="S3" s="20">
        <f>IFERROR(__xludf.DUMMYFUNCTION("""COMPUTED_VALUE"""),6960.0)</f>
        <v>6960</v>
      </c>
    </row>
    <row r="4">
      <c r="A4" s="13" t="s">
        <v>49</v>
      </c>
      <c r="B4" s="13" t="s">
        <v>19</v>
      </c>
      <c r="C4" s="13" t="s">
        <v>15</v>
      </c>
      <c r="D4" s="13" t="s">
        <v>11</v>
      </c>
      <c r="E4" s="14" t="str">
        <f t="shared" si="1"/>
        <v>Electronics</v>
      </c>
      <c r="F4" s="16">
        <v>4.0</v>
      </c>
      <c r="G4" s="16">
        <v>500.0</v>
      </c>
      <c r="H4" s="16">
        <v>2000.0</v>
      </c>
      <c r="I4" s="14" t="str">
        <f t="shared" si="2"/>
        <v>Electronics</v>
      </c>
      <c r="J4" s="17">
        <f t="shared" si="3"/>
        <v>0.1127395716</v>
      </c>
      <c r="K4" s="18" t="str">
        <f t="shared" si="4"/>
        <v>High</v>
      </c>
      <c r="L4" s="23"/>
      <c r="N4" s="20" t="s">
        <v>21</v>
      </c>
      <c r="O4" s="20" t="s">
        <v>17</v>
      </c>
      <c r="P4" s="21" t="str">
        <f t="shared" si="5"/>
        <v>Accessories</v>
      </c>
      <c r="R4" s="20" t="str">
        <f>IFERROR(__xludf.DUMMYFUNCTION("""COMPUTED_VALUE"""),"North")</f>
        <v>North</v>
      </c>
      <c r="S4" s="20">
        <f>IFERROR(__xludf.DUMMYFUNCTION("""COMPUTED_VALUE"""),7580.0)</f>
        <v>7580</v>
      </c>
    </row>
    <row r="5">
      <c r="A5" s="13" t="s">
        <v>50</v>
      </c>
      <c r="B5" s="13" t="s">
        <v>23</v>
      </c>
      <c r="C5" s="13" t="s">
        <v>24</v>
      </c>
      <c r="D5" s="13" t="s">
        <v>25</v>
      </c>
      <c r="E5" s="14" t="str">
        <f t="shared" si="1"/>
        <v>Electronics</v>
      </c>
      <c r="F5" s="16">
        <v>9.0</v>
      </c>
      <c r="G5" s="16">
        <v>180.0</v>
      </c>
      <c r="H5" s="16">
        <v>1620.0</v>
      </c>
      <c r="I5" s="14" t="str">
        <f t="shared" si="2"/>
        <v>Electronics</v>
      </c>
      <c r="J5" s="17">
        <f t="shared" si="3"/>
        <v>0.1029224905</v>
      </c>
      <c r="K5" s="18" t="str">
        <f t="shared" si="4"/>
        <v>High</v>
      </c>
      <c r="L5" s="19" t="s">
        <v>58</v>
      </c>
      <c r="N5" s="20" t="s">
        <v>25</v>
      </c>
      <c r="O5" s="20" t="s">
        <v>12</v>
      </c>
      <c r="P5" s="21" t="str">
        <f t="shared" si="5"/>
        <v>Electronics</v>
      </c>
      <c r="R5" s="20" t="str">
        <f>IFERROR(__xludf.DUMMYFUNCTION("""COMPUTED_VALUE"""),"South")</f>
        <v>South</v>
      </c>
      <c r="S5" s="20">
        <f>IFERROR(__xludf.DUMMYFUNCTION("""COMPUTED_VALUE"""),5140.0)</f>
        <v>5140</v>
      </c>
    </row>
    <row r="6">
      <c r="A6" s="13" t="s">
        <v>50</v>
      </c>
      <c r="B6" s="13" t="s">
        <v>23</v>
      </c>
      <c r="C6" s="13" t="s">
        <v>24</v>
      </c>
      <c r="D6" s="13" t="s">
        <v>25</v>
      </c>
      <c r="E6" s="14" t="str">
        <f t="shared" si="1"/>
        <v>Electronics</v>
      </c>
      <c r="F6" s="16">
        <v>9.0</v>
      </c>
      <c r="G6" s="16">
        <v>180.0</v>
      </c>
      <c r="H6" s="16">
        <v>1620.0</v>
      </c>
      <c r="I6" s="14" t="str">
        <f t="shared" si="2"/>
        <v>Electronics</v>
      </c>
      <c r="J6" s="17">
        <f t="shared" si="3"/>
        <v>0.1147308782</v>
      </c>
      <c r="K6" s="18" t="str">
        <f t="shared" si="4"/>
        <v>High</v>
      </c>
      <c r="L6" s="24">
        <f>AVERAGEA(H2:H26)</f>
        <v>929.6</v>
      </c>
      <c r="N6" s="20" t="s">
        <v>27</v>
      </c>
      <c r="O6" s="20" t="s">
        <v>28</v>
      </c>
      <c r="P6" s="21" t="str">
        <f t="shared" si="5"/>
        <v>Office</v>
      </c>
      <c r="R6" s="20" t="str">
        <f>IFERROR(__xludf.DUMMYFUNCTION("""COMPUTED_VALUE"""),"West")</f>
        <v>West</v>
      </c>
      <c r="S6" s="20">
        <f>IFERROR(__xludf.DUMMYFUNCTION("""COMPUTED_VALUE"""),3560.0)</f>
        <v>3560</v>
      </c>
    </row>
    <row r="7">
      <c r="A7" s="13" t="s">
        <v>37</v>
      </c>
      <c r="B7" s="13" t="s">
        <v>19</v>
      </c>
      <c r="C7" s="13" t="s">
        <v>24</v>
      </c>
      <c r="D7" s="13" t="s">
        <v>11</v>
      </c>
      <c r="E7" s="14" t="str">
        <f t="shared" si="1"/>
        <v>Electronics</v>
      </c>
      <c r="F7" s="16">
        <v>3.0</v>
      </c>
      <c r="G7" s="16">
        <v>500.0</v>
      </c>
      <c r="H7" s="16">
        <v>1500.0</v>
      </c>
      <c r="I7" s="14" t="str">
        <f t="shared" si="2"/>
        <v>Electronics</v>
      </c>
      <c r="J7" s="17">
        <f t="shared" si="3"/>
        <v>0.1153846154</v>
      </c>
      <c r="K7" s="18" t="str">
        <f t="shared" si="4"/>
        <v>High</v>
      </c>
      <c r="L7" s="23"/>
      <c r="N7" s="20" t="s">
        <v>31</v>
      </c>
      <c r="O7" s="20" t="s">
        <v>32</v>
      </c>
      <c r="P7" s="21" t="str">
        <f t="shared" si="5"/>
        <v>Furniture</v>
      </c>
    </row>
    <row r="8">
      <c r="A8" s="13" t="s">
        <v>22</v>
      </c>
      <c r="B8" s="13" t="s">
        <v>23</v>
      </c>
      <c r="C8" s="13" t="s">
        <v>24</v>
      </c>
      <c r="D8" s="13" t="s">
        <v>25</v>
      </c>
      <c r="E8" s="14" t="str">
        <f t="shared" si="1"/>
        <v>Electronics</v>
      </c>
      <c r="F8" s="16">
        <v>7.0</v>
      </c>
      <c r="G8" s="16">
        <v>180.0</v>
      </c>
      <c r="H8" s="16">
        <v>1260.0</v>
      </c>
      <c r="I8" s="14" t="str">
        <f t="shared" si="2"/>
        <v>Electronics</v>
      </c>
      <c r="J8" s="17">
        <f t="shared" si="3"/>
        <v>0.1058823529</v>
      </c>
      <c r="K8" s="18" t="str">
        <f t="shared" si="4"/>
        <v>High</v>
      </c>
      <c r="L8" s="25" t="s">
        <v>59</v>
      </c>
      <c r="N8" s="20" t="s">
        <v>34</v>
      </c>
      <c r="O8" s="20" t="s">
        <v>32</v>
      </c>
      <c r="P8" s="21" t="str">
        <f t="shared" si="5"/>
        <v>Furniture</v>
      </c>
    </row>
    <row r="9">
      <c r="A9" s="13" t="s">
        <v>29</v>
      </c>
      <c r="B9" s="13" t="s">
        <v>14</v>
      </c>
      <c r="C9" s="13" t="s">
        <v>20</v>
      </c>
      <c r="D9" s="13" t="s">
        <v>11</v>
      </c>
      <c r="E9" s="14" t="str">
        <f t="shared" si="1"/>
        <v>Electronics</v>
      </c>
      <c r="F9" s="16">
        <v>2.0</v>
      </c>
      <c r="G9" s="16">
        <v>500.0</v>
      </c>
      <c r="H9" s="16">
        <v>1000.0</v>
      </c>
      <c r="I9" s="14" t="str">
        <f t="shared" si="2"/>
        <v>Electronics</v>
      </c>
      <c r="J9" s="17">
        <f t="shared" si="3"/>
        <v>0.09090909091</v>
      </c>
      <c r="K9" s="18" t="str">
        <f t="shared" si="4"/>
        <v>High</v>
      </c>
      <c r="L9" s="26">
        <f>COUNTA(H2:H26)</f>
        <v>25</v>
      </c>
    </row>
    <row r="10">
      <c r="A10" s="13" t="s">
        <v>43</v>
      </c>
      <c r="B10" s="13" t="s">
        <v>9</v>
      </c>
      <c r="C10" s="13" t="s">
        <v>15</v>
      </c>
      <c r="D10" s="13" t="s">
        <v>25</v>
      </c>
      <c r="E10" s="14" t="str">
        <f t="shared" si="1"/>
        <v>Office</v>
      </c>
      <c r="F10" s="16">
        <v>5.0</v>
      </c>
      <c r="G10" s="16">
        <v>180.0</v>
      </c>
      <c r="H10" s="16">
        <v>900.0</v>
      </c>
      <c r="I10" s="14" t="str">
        <f t="shared" si="2"/>
        <v>Electronics</v>
      </c>
      <c r="J10" s="17">
        <f t="shared" si="3"/>
        <v>0.08612440191</v>
      </c>
      <c r="K10" s="18" t="str">
        <f t="shared" si="4"/>
        <v>Low</v>
      </c>
      <c r="L10" s="23"/>
    </row>
    <row r="11">
      <c r="A11" s="13" t="s">
        <v>38</v>
      </c>
      <c r="B11" s="13" t="s">
        <v>23</v>
      </c>
      <c r="C11" s="13" t="s">
        <v>15</v>
      </c>
      <c r="D11" s="13" t="s">
        <v>27</v>
      </c>
      <c r="E11" s="14" t="str">
        <f t="shared" si="1"/>
        <v>Electronics</v>
      </c>
      <c r="F11" s="16">
        <v>4.0</v>
      </c>
      <c r="G11" s="16">
        <v>220.0</v>
      </c>
      <c r="H11" s="16">
        <v>880.0</v>
      </c>
      <c r="I11" s="14" t="str">
        <f t="shared" si="2"/>
        <v>Electronics</v>
      </c>
      <c r="J11" s="17">
        <f t="shared" si="3"/>
        <v>0.08826479438</v>
      </c>
      <c r="K11" s="18" t="str">
        <f t="shared" si="4"/>
        <v>Low</v>
      </c>
      <c r="L11" s="27" t="s">
        <v>60</v>
      </c>
    </row>
    <row r="12">
      <c r="A12" s="13" t="s">
        <v>36</v>
      </c>
      <c r="B12" s="13" t="s">
        <v>14</v>
      </c>
      <c r="C12" s="13" t="s">
        <v>10</v>
      </c>
      <c r="D12" s="13" t="s">
        <v>25</v>
      </c>
      <c r="E12" s="14" t="str">
        <f t="shared" si="1"/>
        <v>Furniture</v>
      </c>
      <c r="F12" s="16">
        <v>4.0</v>
      </c>
      <c r="G12" s="16">
        <v>180.0</v>
      </c>
      <c r="H12" s="16">
        <v>720.0</v>
      </c>
      <c r="I12" s="14" t="str">
        <f t="shared" si="2"/>
        <v>Electronics</v>
      </c>
      <c r="J12" s="17">
        <f t="shared" si="3"/>
        <v>0.07667731629</v>
      </c>
      <c r="K12" s="18" t="str">
        <f t="shared" si="4"/>
        <v>Low</v>
      </c>
      <c r="L12" s="28">
        <f>COUNT(H2:H26)</f>
        <v>25</v>
      </c>
    </row>
    <row r="13">
      <c r="A13" s="13" t="s">
        <v>41</v>
      </c>
      <c r="B13" s="13" t="s">
        <v>19</v>
      </c>
      <c r="C13" s="13" t="s">
        <v>20</v>
      </c>
      <c r="D13" s="13" t="s">
        <v>31</v>
      </c>
      <c r="E13" s="14" t="str">
        <f t="shared" si="1"/>
        <v>Office</v>
      </c>
      <c r="F13" s="16">
        <v>8.0</v>
      </c>
      <c r="G13" s="16">
        <v>90.0</v>
      </c>
      <c r="H13" s="16">
        <v>720.0</v>
      </c>
      <c r="I13" s="14" t="str">
        <f t="shared" si="2"/>
        <v>Office</v>
      </c>
      <c r="J13" s="17">
        <f t="shared" si="3"/>
        <v>0.06997084548</v>
      </c>
      <c r="K13" s="18" t="str">
        <f t="shared" si="4"/>
        <v>Low</v>
      </c>
      <c r="L13" s="29"/>
    </row>
    <row r="14">
      <c r="A14" s="13" t="s">
        <v>26</v>
      </c>
      <c r="B14" s="13" t="s">
        <v>9</v>
      </c>
      <c r="C14" s="13" t="s">
        <v>10</v>
      </c>
      <c r="D14" s="13" t="s">
        <v>27</v>
      </c>
      <c r="E14" s="14" t="str">
        <f t="shared" si="1"/>
        <v>Furniture</v>
      </c>
      <c r="F14" s="16">
        <v>3.0</v>
      </c>
      <c r="G14" s="16">
        <v>220.0</v>
      </c>
      <c r="H14" s="16">
        <v>660.0</v>
      </c>
      <c r="I14" s="14" t="str">
        <f t="shared" si="2"/>
        <v>Electronics</v>
      </c>
      <c r="J14" s="17">
        <f t="shared" si="3"/>
        <v>0.05898123324</v>
      </c>
      <c r="K14" s="18" t="str">
        <f t="shared" si="4"/>
        <v>Low</v>
      </c>
      <c r="L14" s="30" t="s">
        <v>61</v>
      </c>
    </row>
    <row r="15">
      <c r="A15" s="13" t="s">
        <v>30</v>
      </c>
      <c r="B15" s="13" t="s">
        <v>19</v>
      </c>
      <c r="C15" s="13" t="s">
        <v>15</v>
      </c>
      <c r="D15" s="13" t="s">
        <v>31</v>
      </c>
      <c r="E15" s="14" t="str">
        <f t="shared" si="1"/>
        <v>Accessories</v>
      </c>
      <c r="F15" s="16">
        <v>6.0</v>
      </c>
      <c r="G15" s="16">
        <v>90.0</v>
      </c>
      <c r="H15" s="16">
        <v>540.0</v>
      </c>
      <c r="I15" s="14" t="str">
        <f t="shared" si="2"/>
        <v>Office</v>
      </c>
      <c r="J15" s="17">
        <f t="shared" si="3"/>
        <v>0.048</v>
      </c>
      <c r="K15" s="18" t="str">
        <f t="shared" si="4"/>
        <v>Low</v>
      </c>
      <c r="L15" s="31">
        <f>COUNTIF(C2:C26, "North")</f>
        <v>6</v>
      </c>
    </row>
    <row r="16">
      <c r="A16" s="13" t="s">
        <v>35</v>
      </c>
      <c r="B16" s="13" t="s">
        <v>9</v>
      </c>
      <c r="C16" s="13" t="s">
        <v>20</v>
      </c>
      <c r="D16" s="13" t="s">
        <v>16</v>
      </c>
      <c r="E16" s="14" t="str">
        <f t="shared" si="1"/>
        <v>Accessories</v>
      </c>
      <c r="F16" s="16">
        <v>25.0</v>
      </c>
      <c r="G16" s="16">
        <v>20.0</v>
      </c>
      <c r="H16" s="16">
        <v>500.0</v>
      </c>
      <c r="I16" s="14" t="str">
        <f t="shared" si="2"/>
        <v>Accessories</v>
      </c>
      <c r="J16" s="17">
        <f t="shared" si="3"/>
        <v>0.0417710944</v>
      </c>
      <c r="K16" s="18" t="str">
        <f t="shared" si="4"/>
        <v>Low</v>
      </c>
      <c r="L16" s="23"/>
    </row>
    <row r="17">
      <c r="A17" s="13" t="s">
        <v>18</v>
      </c>
      <c r="B17" s="13" t="s">
        <v>19</v>
      </c>
      <c r="C17" s="13" t="s">
        <v>20</v>
      </c>
      <c r="D17" s="13" t="s">
        <v>21</v>
      </c>
      <c r="E17" s="14" t="str">
        <f t="shared" si="1"/>
        <v>Furniture</v>
      </c>
      <c r="F17" s="16">
        <v>15.0</v>
      </c>
      <c r="G17" s="16">
        <v>30.0</v>
      </c>
      <c r="H17" s="16">
        <v>450.0</v>
      </c>
      <c r="I17" s="14" t="str">
        <f t="shared" si="2"/>
        <v>Furniture</v>
      </c>
      <c r="J17" s="17">
        <f t="shared" si="3"/>
        <v>0.03109882516</v>
      </c>
      <c r="K17" s="18" t="str">
        <f t="shared" si="4"/>
        <v>Low</v>
      </c>
      <c r="L17" s="19" t="s">
        <v>62</v>
      </c>
    </row>
    <row r="18">
      <c r="A18" s="13" t="s">
        <v>48</v>
      </c>
      <c r="B18" s="13" t="s">
        <v>14</v>
      </c>
      <c r="C18" s="13" t="s">
        <v>20</v>
      </c>
      <c r="D18" s="13" t="s">
        <v>31</v>
      </c>
      <c r="E18" s="14" t="str">
        <f t="shared" si="1"/>
        <v>Office</v>
      </c>
      <c r="F18" s="16">
        <v>5.0</v>
      </c>
      <c r="G18" s="16">
        <v>90.0</v>
      </c>
      <c r="H18" s="16">
        <v>450.0</v>
      </c>
      <c r="I18" s="14" t="str">
        <f t="shared" si="2"/>
        <v>Office</v>
      </c>
      <c r="J18" s="17">
        <f t="shared" si="3"/>
        <v>0.03090659341</v>
      </c>
      <c r="K18" s="18" t="str">
        <f t="shared" si="4"/>
        <v>Low</v>
      </c>
      <c r="L18" s="31">
        <f>SUMIF(E2:E26, "Electronics", H2:H26)</f>
        <v>15380</v>
      </c>
    </row>
    <row r="19">
      <c r="A19" s="13" t="s">
        <v>44</v>
      </c>
      <c r="B19" s="13" t="s">
        <v>14</v>
      </c>
      <c r="C19" s="13" t="s">
        <v>20</v>
      </c>
      <c r="D19" s="13" t="s">
        <v>27</v>
      </c>
      <c r="E19" s="14" t="str">
        <f t="shared" si="1"/>
        <v>Accessories</v>
      </c>
      <c r="F19" s="16">
        <v>2.0</v>
      </c>
      <c r="G19" s="16">
        <v>220.0</v>
      </c>
      <c r="H19" s="16">
        <v>440.0</v>
      </c>
      <c r="I19" s="14" t="str">
        <f t="shared" si="2"/>
        <v>Electronics</v>
      </c>
      <c r="J19" s="17">
        <f t="shared" si="3"/>
        <v>0.02649006623</v>
      </c>
      <c r="K19" s="18" t="str">
        <f t="shared" si="4"/>
        <v>Low</v>
      </c>
      <c r="L19" s="23"/>
    </row>
    <row r="20">
      <c r="A20" s="13" t="s">
        <v>46</v>
      </c>
      <c r="B20" s="13" t="s">
        <v>23</v>
      </c>
      <c r="C20" s="13" t="s">
        <v>15</v>
      </c>
      <c r="D20" s="13" t="s">
        <v>21</v>
      </c>
      <c r="E20" s="14" t="str">
        <f t="shared" si="1"/>
        <v>Accessories</v>
      </c>
      <c r="F20" s="16">
        <v>14.0</v>
      </c>
      <c r="G20" s="16">
        <v>30.0</v>
      </c>
      <c r="H20" s="16">
        <v>420.0</v>
      </c>
      <c r="I20" s="14" t="str">
        <f t="shared" si="2"/>
        <v>Furniture</v>
      </c>
      <c r="J20" s="17">
        <f t="shared" si="3"/>
        <v>0.02460456942</v>
      </c>
      <c r="K20" s="18" t="str">
        <f t="shared" si="4"/>
        <v>Low</v>
      </c>
      <c r="L20" s="32" t="s">
        <v>63</v>
      </c>
    </row>
    <row r="21">
      <c r="A21" s="3" t="s">
        <v>13</v>
      </c>
      <c r="B21" s="3" t="s">
        <v>14</v>
      </c>
      <c r="C21" s="3" t="s">
        <v>15</v>
      </c>
      <c r="D21" s="3" t="s">
        <v>16</v>
      </c>
      <c r="E21" s="14" t="str">
        <f t="shared" si="1"/>
        <v>Furniture</v>
      </c>
      <c r="F21" s="3">
        <v>20.0</v>
      </c>
      <c r="G21" s="3">
        <v>20.0</v>
      </c>
      <c r="H21" s="5">
        <v>400.0</v>
      </c>
      <c r="I21" s="14" t="str">
        <f t="shared" si="2"/>
        <v>Accessories</v>
      </c>
      <c r="J21" s="17">
        <f t="shared" si="3"/>
        <v>0.02339181287</v>
      </c>
      <c r="K21" s="18"/>
      <c r="L21" s="33"/>
    </row>
    <row r="22">
      <c r="A22" s="13" t="s">
        <v>33</v>
      </c>
      <c r="B22" s="13" t="s">
        <v>23</v>
      </c>
      <c r="C22" s="13" t="s">
        <v>24</v>
      </c>
      <c r="D22" s="13" t="s">
        <v>34</v>
      </c>
      <c r="E22" s="14" t="str">
        <f t="shared" si="1"/>
        <v>Furniture</v>
      </c>
      <c r="F22" s="16">
        <v>2.0</v>
      </c>
      <c r="G22" s="16">
        <v>200.0</v>
      </c>
      <c r="H22" s="16">
        <v>400.0</v>
      </c>
      <c r="I22" s="14" t="str">
        <f t="shared" si="2"/>
        <v>Furniture</v>
      </c>
      <c r="J22" s="17">
        <f t="shared" si="3"/>
        <v>0.02139037433</v>
      </c>
      <c r="K22" s="18" t="str">
        <f t="shared" ref="K22:K26" si="6">IF(H22&gt;=1000,"High","Low")</f>
        <v>Low</v>
      </c>
      <c r="L22" s="33">
        <f>AVERAGEIF(B2:B26,"Asha",F2:F26)</f>
        <v>8.333333333</v>
      </c>
    </row>
    <row r="23">
      <c r="A23" s="13" t="s">
        <v>47</v>
      </c>
      <c r="B23" s="13" t="s">
        <v>9</v>
      </c>
      <c r="C23" s="13" t="s">
        <v>10</v>
      </c>
      <c r="D23" s="13" t="s">
        <v>34</v>
      </c>
      <c r="E23" s="14" t="str">
        <f t="shared" si="1"/>
        <v>Accessories</v>
      </c>
      <c r="F23" s="16">
        <v>2.0</v>
      </c>
      <c r="G23" s="16">
        <v>200.0</v>
      </c>
      <c r="H23" s="16">
        <v>400.0</v>
      </c>
      <c r="I23" s="14" t="str">
        <f t="shared" si="2"/>
        <v>Furniture</v>
      </c>
      <c r="J23" s="17">
        <f t="shared" si="3"/>
        <v>0.02085505735</v>
      </c>
      <c r="K23" s="18" t="str">
        <f t="shared" si="6"/>
        <v>Low</v>
      </c>
      <c r="L23" s="34"/>
    </row>
    <row r="24">
      <c r="A24" s="13" t="s">
        <v>45</v>
      </c>
      <c r="B24" s="13" t="s">
        <v>19</v>
      </c>
      <c r="C24" s="13" t="s">
        <v>24</v>
      </c>
      <c r="D24" s="13" t="s">
        <v>16</v>
      </c>
      <c r="E24" s="14" t="str">
        <f t="shared" si="1"/>
        <v>Accessories</v>
      </c>
      <c r="F24" s="16">
        <v>18.0</v>
      </c>
      <c r="G24" s="16">
        <v>20.0</v>
      </c>
      <c r="H24" s="16">
        <v>360.0</v>
      </c>
      <c r="I24" s="14" t="str">
        <f t="shared" si="2"/>
        <v>Accessories</v>
      </c>
      <c r="J24" s="17">
        <f t="shared" si="3"/>
        <v>0.01846153846</v>
      </c>
      <c r="K24" s="18" t="str">
        <f t="shared" si="6"/>
        <v>Low</v>
      </c>
      <c r="L24" s="19" t="s">
        <v>64</v>
      </c>
    </row>
    <row r="25">
      <c r="A25" s="13" t="s">
        <v>39</v>
      </c>
      <c r="B25" s="13" t="s">
        <v>9</v>
      </c>
      <c r="C25" s="13" t="s">
        <v>10</v>
      </c>
      <c r="D25" s="13" t="s">
        <v>21</v>
      </c>
      <c r="E25" s="14" t="str">
        <f t="shared" si="1"/>
        <v>Furniture</v>
      </c>
      <c r="F25" s="16">
        <v>10.0</v>
      </c>
      <c r="G25" s="16">
        <v>30.0</v>
      </c>
      <c r="H25" s="16">
        <v>300.0</v>
      </c>
      <c r="I25" s="14" t="str">
        <f t="shared" si="2"/>
        <v>Furniture</v>
      </c>
      <c r="J25" s="17">
        <f t="shared" si="3"/>
        <v>0.01453488372</v>
      </c>
      <c r="K25" s="18" t="str">
        <f t="shared" si="6"/>
        <v>Low</v>
      </c>
      <c r="L25" s="35">
        <f>MAX(H2:H26)</f>
        <v>3000</v>
      </c>
    </row>
    <row r="26">
      <c r="A26" s="13" t="s">
        <v>40</v>
      </c>
      <c r="B26" s="13" t="s">
        <v>14</v>
      </c>
      <c r="C26" s="13" t="s">
        <v>24</v>
      </c>
      <c r="D26" s="13" t="s">
        <v>34</v>
      </c>
      <c r="E26" s="14" t="str">
        <f>VLOOKUP(D26, $N$2:O$10, 2,FALSE)</f>
        <v>Furniture</v>
      </c>
      <c r="F26" s="16">
        <v>1.0</v>
      </c>
      <c r="G26" s="16">
        <v>200.0</v>
      </c>
      <c r="H26" s="16">
        <v>200.0</v>
      </c>
      <c r="I26" s="14" t="str">
        <f t="shared" si="2"/>
        <v>Furniture</v>
      </c>
      <c r="J26" s="17">
        <f t="shared" si="3"/>
        <v>0.009523809524</v>
      </c>
      <c r="K26" s="18" t="str">
        <f t="shared" si="6"/>
        <v>Low</v>
      </c>
      <c r="L26" s="19" t="s">
        <v>65</v>
      </c>
    </row>
    <row r="27">
      <c r="L27" s="35">
        <f>MIN(H2:H26)</f>
        <v>200</v>
      </c>
    </row>
    <row r="29">
      <c r="A29" s="36"/>
    </row>
    <row r="30">
      <c r="A30" s="37" t="str">
        <f t="array" ref="A30:H55">SORT(A1:H26, 6, FALSE)
 </f>
        <v>OrderID</v>
      </c>
      <c r="B30" s="37" t="s">
        <v>1</v>
      </c>
      <c r="C30" s="37" t="s">
        <v>2</v>
      </c>
      <c r="D30" s="37" t="s">
        <v>3</v>
      </c>
      <c r="E30" s="37" t="s">
        <v>51</v>
      </c>
      <c r="F30" s="38" t="s">
        <v>5</v>
      </c>
      <c r="G30" s="37" t="s">
        <v>6</v>
      </c>
      <c r="H30" s="37" t="s">
        <v>7</v>
      </c>
    </row>
    <row r="31">
      <c r="A31" s="2" t="s">
        <v>35</v>
      </c>
      <c r="B31" s="2" t="s">
        <v>9</v>
      </c>
      <c r="C31" s="2" t="s">
        <v>20</v>
      </c>
      <c r="D31" s="2" t="s">
        <v>16</v>
      </c>
      <c r="E31" s="2" t="s">
        <v>17</v>
      </c>
      <c r="F31" s="39">
        <v>25.0</v>
      </c>
      <c r="G31" s="2">
        <v>20.0</v>
      </c>
      <c r="H31" s="2">
        <v>500.0</v>
      </c>
    </row>
    <row r="32">
      <c r="A32" s="2" t="s">
        <v>13</v>
      </c>
      <c r="B32" s="2" t="s">
        <v>14</v>
      </c>
      <c r="C32" s="2" t="s">
        <v>15</v>
      </c>
      <c r="D32" s="2" t="s">
        <v>16</v>
      </c>
      <c r="E32" s="2" t="s">
        <v>32</v>
      </c>
      <c r="F32" s="40">
        <v>20.0</v>
      </c>
      <c r="G32" s="2">
        <v>20.0</v>
      </c>
      <c r="H32" s="2">
        <v>400.0</v>
      </c>
    </row>
    <row r="33">
      <c r="A33" s="2" t="s">
        <v>45</v>
      </c>
      <c r="B33" s="2" t="s">
        <v>19</v>
      </c>
      <c r="C33" s="2" t="s">
        <v>24</v>
      </c>
      <c r="D33" s="2" t="s">
        <v>16</v>
      </c>
      <c r="E33" s="2" t="s">
        <v>17</v>
      </c>
      <c r="F33" s="40">
        <v>18.0</v>
      </c>
      <c r="G33" s="2">
        <v>20.0</v>
      </c>
      <c r="H33" s="2">
        <v>360.0</v>
      </c>
    </row>
    <row r="34">
      <c r="A34" s="2" t="s">
        <v>18</v>
      </c>
      <c r="B34" s="2" t="s">
        <v>19</v>
      </c>
      <c r="C34" s="2" t="s">
        <v>20</v>
      </c>
      <c r="D34" s="2" t="s">
        <v>21</v>
      </c>
      <c r="E34" s="2" t="s">
        <v>32</v>
      </c>
      <c r="F34" s="40">
        <v>15.0</v>
      </c>
      <c r="G34" s="2">
        <v>30.0</v>
      </c>
      <c r="H34" s="2">
        <v>450.0</v>
      </c>
    </row>
    <row r="35">
      <c r="A35" s="2" t="s">
        <v>46</v>
      </c>
      <c r="B35" s="2" t="s">
        <v>23</v>
      </c>
      <c r="C35" s="2" t="s">
        <v>15</v>
      </c>
      <c r="D35" s="2" t="s">
        <v>21</v>
      </c>
      <c r="E35" s="2" t="s">
        <v>17</v>
      </c>
      <c r="F35" s="40">
        <v>14.0</v>
      </c>
      <c r="G35" s="2">
        <v>30.0</v>
      </c>
      <c r="H35" s="2">
        <v>420.0</v>
      </c>
    </row>
    <row r="36">
      <c r="A36" s="2" t="s">
        <v>39</v>
      </c>
      <c r="B36" s="2" t="s">
        <v>9</v>
      </c>
      <c r="C36" s="2" t="s">
        <v>10</v>
      </c>
      <c r="D36" s="2" t="s">
        <v>21</v>
      </c>
      <c r="E36" s="2" t="s">
        <v>32</v>
      </c>
      <c r="F36" s="40">
        <v>10.0</v>
      </c>
      <c r="G36" s="2">
        <v>30.0</v>
      </c>
      <c r="H36" s="2">
        <v>300.0</v>
      </c>
    </row>
    <row r="37">
      <c r="A37" s="2" t="s">
        <v>50</v>
      </c>
      <c r="B37" s="2" t="s">
        <v>23</v>
      </c>
      <c r="C37" s="2" t="s">
        <v>24</v>
      </c>
      <c r="D37" s="2" t="s">
        <v>25</v>
      </c>
      <c r="E37" s="2" t="s">
        <v>12</v>
      </c>
      <c r="F37" s="40">
        <v>9.0</v>
      </c>
      <c r="G37" s="2">
        <v>180.0</v>
      </c>
      <c r="H37" s="2">
        <v>1620.0</v>
      </c>
    </row>
    <row r="38">
      <c r="A38" s="2" t="s">
        <v>50</v>
      </c>
      <c r="B38" s="2" t="s">
        <v>23</v>
      </c>
      <c r="C38" s="2" t="s">
        <v>24</v>
      </c>
      <c r="D38" s="2" t="s">
        <v>25</v>
      </c>
      <c r="E38" s="2" t="s">
        <v>12</v>
      </c>
      <c r="F38" s="40">
        <v>9.0</v>
      </c>
      <c r="G38" s="2">
        <v>180.0</v>
      </c>
      <c r="H38" s="2">
        <v>1620.0</v>
      </c>
      <c r="J38" s="41"/>
    </row>
    <row r="39">
      <c r="A39" s="2" t="s">
        <v>41</v>
      </c>
      <c r="B39" s="2" t="s">
        <v>19</v>
      </c>
      <c r="C39" s="2" t="s">
        <v>20</v>
      </c>
      <c r="D39" s="2" t="s">
        <v>31</v>
      </c>
      <c r="E39" s="2" t="s">
        <v>28</v>
      </c>
      <c r="F39" s="40">
        <v>8.0</v>
      </c>
      <c r="G39" s="2">
        <v>90.0</v>
      </c>
      <c r="H39" s="2">
        <v>720.0</v>
      </c>
    </row>
    <row r="40">
      <c r="A40" s="2" t="s">
        <v>22</v>
      </c>
      <c r="B40" s="2" t="s">
        <v>23</v>
      </c>
      <c r="C40" s="2" t="s">
        <v>24</v>
      </c>
      <c r="D40" s="2" t="s">
        <v>25</v>
      </c>
      <c r="E40" s="2" t="s">
        <v>12</v>
      </c>
      <c r="F40" s="40">
        <v>7.0</v>
      </c>
      <c r="G40" s="2">
        <v>180.0</v>
      </c>
      <c r="H40" s="2">
        <v>1260.0</v>
      </c>
    </row>
    <row r="41">
      <c r="A41" s="2" t="s">
        <v>42</v>
      </c>
      <c r="B41" s="2" t="s">
        <v>23</v>
      </c>
      <c r="C41" s="2" t="s">
        <v>10</v>
      </c>
      <c r="D41" s="2" t="s">
        <v>11</v>
      </c>
      <c r="E41" s="2" t="s">
        <v>12</v>
      </c>
      <c r="F41" s="40">
        <v>6.0</v>
      </c>
      <c r="G41" s="2">
        <v>500.0</v>
      </c>
      <c r="H41" s="2">
        <v>3000.0</v>
      </c>
    </row>
    <row r="42">
      <c r="A42" s="2" t="s">
        <v>30</v>
      </c>
      <c r="B42" s="2" t="s">
        <v>19</v>
      </c>
      <c r="C42" s="2" t="s">
        <v>15</v>
      </c>
      <c r="D42" s="2" t="s">
        <v>31</v>
      </c>
      <c r="E42" s="2" t="s">
        <v>17</v>
      </c>
      <c r="F42" s="40">
        <v>6.0</v>
      </c>
      <c r="G42" s="2">
        <v>90.0</v>
      </c>
      <c r="H42" s="2">
        <v>540.0</v>
      </c>
    </row>
    <row r="43">
      <c r="A43" s="2" t="s">
        <v>8</v>
      </c>
      <c r="B43" s="2" t="s">
        <v>9</v>
      </c>
      <c r="C43" s="2" t="s">
        <v>10</v>
      </c>
      <c r="D43" s="2" t="s">
        <v>11</v>
      </c>
      <c r="E43" s="2" t="s">
        <v>12</v>
      </c>
      <c r="F43" s="40">
        <v>5.0</v>
      </c>
      <c r="G43" s="2">
        <v>500.0</v>
      </c>
      <c r="H43" s="2">
        <v>2500.0</v>
      </c>
    </row>
    <row r="44">
      <c r="A44" s="2" t="s">
        <v>43</v>
      </c>
      <c r="B44" s="2" t="s">
        <v>9</v>
      </c>
      <c r="C44" s="2" t="s">
        <v>15</v>
      </c>
      <c r="D44" s="2" t="s">
        <v>25</v>
      </c>
      <c r="E44" s="2" t="s">
        <v>28</v>
      </c>
      <c r="F44" s="40">
        <v>5.0</v>
      </c>
      <c r="G44" s="2">
        <v>180.0</v>
      </c>
      <c r="H44" s="2">
        <v>900.0</v>
      </c>
    </row>
    <row r="45">
      <c r="A45" s="2" t="s">
        <v>48</v>
      </c>
      <c r="B45" s="2" t="s">
        <v>14</v>
      </c>
      <c r="C45" s="2" t="s">
        <v>20</v>
      </c>
      <c r="D45" s="2" t="s">
        <v>31</v>
      </c>
      <c r="E45" s="2" t="s">
        <v>28</v>
      </c>
      <c r="F45" s="40">
        <v>5.0</v>
      </c>
      <c r="G45" s="2">
        <v>90.0</v>
      </c>
      <c r="H45" s="2">
        <v>450.0</v>
      </c>
    </row>
    <row r="46">
      <c r="A46" s="2" t="s">
        <v>49</v>
      </c>
      <c r="B46" s="2" t="s">
        <v>19</v>
      </c>
      <c r="C46" s="2" t="s">
        <v>15</v>
      </c>
      <c r="D46" s="2" t="s">
        <v>11</v>
      </c>
      <c r="E46" s="2" t="s">
        <v>12</v>
      </c>
      <c r="F46" s="40">
        <v>4.0</v>
      </c>
      <c r="G46" s="2">
        <v>500.0</v>
      </c>
      <c r="H46" s="2">
        <v>2000.0</v>
      </c>
    </row>
    <row r="47">
      <c r="A47" s="2" t="s">
        <v>38</v>
      </c>
      <c r="B47" s="2" t="s">
        <v>23</v>
      </c>
      <c r="C47" s="2" t="s">
        <v>15</v>
      </c>
      <c r="D47" s="2" t="s">
        <v>27</v>
      </c>
      <c r="E47" s="2" t="s">
        <v>12</v>
      </c>
      <c r="F47" s="40">
        <v>4.0</v>
      </c>
      <c r="G47" s="2">
        <v>220.0</v>
      </c>
      <c r="H47" s="2">
        <v>880.0</v>
      </c>
    </row>
    <row r="48">
      <c r="A48" s="2" t="s">
        <v>36</v>
      </c>
      <c r="B48" s="2" t="s">
        <v>14</v>
      </c>
      <c r="C48" s="2" t="s">
        <v>10</v>
      </c>
      <c r="D48" s="2" t="s">
        <v>25</v>
      </c>
      <c r="E48" s="2" t="s">
        <v>32</v>
      </c>
      <c r="F48" s="40">
        <v>4.0</v>
      </c>
      <c r="G48" s="2">
        <v>180.0</v>
      </c>
      <c r="H48" s="2">
        <v>720.0</v>
      </c>
    </row>
    <row r="49">
      <c r="A49" s="2" t="s">
        <v>37</v>
      </c>
      <c r="B49" s="2" t="s">
        <v>19</v>
      </c>
      <c r="C49" s="2" t="s">
        <v>24</v>
      </c>
      <c r="D49" s="2" t="s">
        <v>11</v>
      </c>
      <c r="E49" s="2" t="s">
        <v>12</v>
      </c>
      <c r="F49" s="40">
        <v>3.0</v>
      </c>
      <c r="G49" s="2">
        <v>500.0</v>
      </c>
      <c r="H49" s="2">
        <v>1500.0</v>
      </c>
    </row>
    <row r="50">
      <c r="A50" s="2" t="s">
        <v>26</v>
      </c>
      <c r="B50" s="2" t="s">
        <v>9</v>
      </c>
      <c r="C50" s="2" t="s">
        <v>10</v>
      </c>
      <c r="D50" s="2" t="s">
        <v>27</v>
      </c>
      <c r="E50" s="2" t="s">
        <v>32</v>
      </c>
      <c r="F50" s="40">
        <v>3.0</v>
      </c>
      <c r="G50" s="2">
        <v>220.0</v>
      </c>
      <c r="H50" s="2">
        <v>660.0</v>
      </c>
    </row>
    <row r="51">
      <c r="A51" s="2" t="s">
        <v>29</v>
      </c>
      <c r="B51" s="2" t="s">
        <v>14</v>
      </c>
      <c r="C51" s="2" t="s">
        <v>20</v>
      </c>
      <c r="D51" s="2" t="s">
        <v>11</v>
      </c>
      <c r="E51" s="2" t="s">
        <v>12</v>
      </c>
      <c r="F51" s="40">
        <v>2.0</v>
      </c>
      <c r="G51" s="2">
        <v>500.0</v>
      </c>
      <c r="H51" s="2">
        <v>1000.0</v>
      </c>
    </row>
    <row r="52">
      <c r="A52" s="2" t="s">
        <v>44</v>
      </c>
      <c r="B52" s="2" t="s">
        <v>14</v>
      </c>
      <c r="C52" s="2" t="s">
        <v>20</v>
      </c>
      <c r="D52" s="2" t="s">
        <v>27</v>
      </c>
      <c r="E52" s="2" t="s">
        <v>17</v>
      </c>
      <c r="F52" s="40">
        <v>2.0</v>
      </c>
      <c r="G52" s="2">
        <v>220.0</v>
      </c>
      <c r="H52" s="2">
        <v>440.0</v>
      </c>
    </row>
    <row r="53">
      <c r="A53" s="2" t="s">
        <v>33</v>
      </c>
      <c r="B53" s="2" t="s">
        <v>23</v>
      </c>
      <c r="C53" s="2" t="s">
        <v>24</v>
      </c>
      <c r="D53" s="2" t="s">
        <v>34</v>
      </c>
      <c r="E53" s="2" t="s">
        <v>32</v>
      </c>
      <c r="F53" s="40">
        <v>2.0</v>
      </c>
      <c r="G53" s="2">
        <v>200.0</v>
      </c>
      <c r="H53" s="2">
        <v>400.0</v>
      </c>
    </row>
    <row r="54">
      <c r="A54" s="2" t="s">
        <v>47</v>
      </c>
      <c r="B54" s="2" t="s">
        <v>9</v>
      </c>
      <c r="C54" s="2" t="s">
        <v>10</v>
      </c>
      <c r="D54" s="2" t="s">
        <v>34</v>
      </c>
      <c r="E54" s="2" t="s">
        <v>17</v>
      </c>
      <c r="F54" s="40">
        <v>2.0</v>
      </c>
      <c r="G54" s="2">
        <v>200.0</v>
      </c>
      <c r="H54" s="2">
        <v>400.0</v>
      </c>
    </row>
    <row r="55">
      <c r="A55" s="2" t="s">
        <v>40</v>
      </c>
      <c r="B55" s="2" t="s">
        <v>14</v>
      </c>
      <c r="C55" s="2" t="s">
        <v>24</v>
      </c>
      <c r="D55" s="2" t="s">
        <v>34</v>
      </c>
      <c r="E55" s="2" t="s">
        <v>32</v>
      </c>
      <c r="F55" s="2">
        <v>1.0</v>
      </c>
      <c r="G55" s="2">
        <v>200.0</v>
      </c>
      <c r="H55" s="2">
        <v>200.0</v>
      </c>
    </row>
  </sheetData>
  <autoFilter ref="$A$1:$W$1000">
    <sortState ref="A1:W1000">
      <sortCondition descending="1" ref="H1:H1000"/>
    </sortState>
  </autoFilter>
  <mergeCells count="2">
    <mergeCell ref="R1:S1"/>
    <mergeCell ref="A29:H29"/>
  </mergeCells>
  <conditionalFormatting sqref="H2:H26">
    <cfRule type="cellIs" dxfId="0" priority="1" operator="greaterThan">
      <formula>1000</formula>
    </cfRule>
  </conditionalFormatting>
  <conditionalFormatting sqref="H2:H26">
    <cfRule type="colorScale" priority="2">
      <colorScale>
        <cfvo type="min"/>
        <cfvo type="percentile" val="50"/>
        <cfvo type="max"/>
        <color rgb="FFA4C2F4"/>
        <color rgb="FF9FC5E8"/>
        <color rgb="FF1C4587"/>
      </colorScale>
    </cfRule>
  </conditionalFormatting>
  <conditionalFormatting sqref="A2:A26">
    <cfRule type="expression" dxfId="1" priority="3">
      <formula>COUNTIF(A$2:A$26, A2)&gt;1</formula>
    </cfRule>
  </conditionalFormatting>
  <conditionalFormatting sqref="F2:F26">
    <cfRule type="notContainsBlanks" dxfId="2" priority="4">
      <formula>LEN(TRIM(F2))&gt;0</formula>
    </cfRule>
  </conditionalFormatting>
  <conditionalFormatting sqref="F31:F54">
    <cfRule type="colorScale" priority="5">
      <colorScale>
        <cfvo type="min"/>
        <cfvo type="max"/>
        <color rgb="FFFFFFFF"/>
        <color rgb="FF57BB8A"/>
      </colorScale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4.25"/>
    <col customWidth="1" min="2" max="2" width="81.75"/>
    <col customWidth="1" min="3" max="26" width="7.63"/>
  </cols>
  <sheetData>
    <row r="1">
      <c r="A1" s="42" t="s">
        <v>66</v>
      </c>
      <c r="B1" s="43" t="s">
        <v>67</v>
      </c>
      <c r="C1" s="44"/>
      <c r="D1" s="44"/>
      <c r="E1" s="44"/>
      <c r="F1" s="44"/>
      <c r="G1" s="44"/>
      <c r="H1" s="44"/>
    </row>
    <row r="2">
      <c r="A2" s="2" t="s">
        <v>68</v>
      </c>
      <c r="B2" s="45" t="s">
        <v>69</v>
      </c>
      <c r="C2" s="44"/>
      <c r="D2" s="44"/>
      <c r="E2" s="44"/>
      <c r="F2" s="44"/>
      <c r="G2" s="44"/>
      <c r="H2" s="44"/>
    </row>
    <row r="3">
      <c r="A3" s="2" t="s">
        <v>70</v>
      </c>
      <c r="B3" s="45" t="s">
        <v>71</v>
      </c>
      <c r="C3" s="44"/>
      <c r="D3" s="44"/>
      <c r="E3" s="44"/>
      <c r="F3" s="44"/>
      <c r="G3" s="44"/>
      <c r="H3" s="44"/>
    </row>
    <row r="4">
      <c r="A4" s="2" t="s">
        <v>72</v>
      </c>
      <c r="B4" s="46" t="s">
        <v>73</v>
      </c>
      <c r="C4" s="44"/>
      <c r="D4" s="44"/>
      <c r="E4" s="44"/>
      <c r="F4" s="44"/>
      <c r="G4" s="44"/>
      <c r="H4" s="44"/>
    </row>
    <row r="5">
      <c r="A5" s="2" t="s">
        <v>74</v>
      </c>
      <c r="B5" s="46" t="s">
        <v>75</v>
      </c>
      <c r="C5" s="44"/>
      <c r="D5" s="44"/>
      <c r="E5" s="44"/>
      <c r="F5" s="44"/>
      <c r="G5" s="44"/>
      <c r="H5" s="44"/>
    </row>
    <row r="6">
      <c r="A6" s="2" t="s">
        <v>76</v>
      </c>
      <c r="B6" s="46" t="s">
        <v>77</v>
      </c>
      <c r="C6" s="44"/>
      <c r="D6" s="44"/>
      <c r="E6" s="44"/>
      <c r="F6" s="44"/>
      <c r="G6" s="44"/>
      <c r="H6" s="44"/>
    </row>
    <row r="7">
      <c r="A7" s="2" t="s">
        <v>78</v>
      </c>
      <c r="B7" s="46" t="s">
        <v>79</v>
      </c>
      <c r="C7" s="44"/>
      <c r="D7" s="44"/>
      <c r="E7" s="44"/>
      <c r="F7" s="44"/>
      <c r="G7" s="44"/>
      <c r="H7" s="44"/>
    </row>
    <row r="8">
      <c r="A8" s="2" t="s">
        <v>80</v>
      </c>
      <c r="B8" s="46" t="s">
        <v>81</v>
      </c>
      <c r="C8" s="44"/>
      <c r="D8" s="44"/>
      <c r="E8" s="44"/>
      <c r="F8" s="44"/>
      <c r="G8" s="44"/>
      <c r="H8" s="44"/>
    </row>
    <row r="9">
      <c r="A9" s="2" t="s">
        <v>82</v>
      </c>
      <c r="B9" s="46" t="s">
        <v>83</v>
      </c>
      <c r="C9" s="44"/>
      <c r="D9" s="44"/>
      <c r="E9" s="44"/>
      <c r="F9" s="44"/>
      <c r="G9" s="44"/>
      <c r="H9" s="44"/>
    </row>
    <row r="10">
      <c r="A10" s="2" t="s">
        <v>84</v>
      </c>
      <c r="B10" s="46" t="s">
        <v>85</v>
      </c>
      <c r="C10" s="44"/>
      <c r="D10" s="44"/>
      <c r="E10" s="44"/>
      <c r="F10" s="44"/>
      <c r="G10" s="44"/>
      <c r="H10" s="44"/>
    </row>
    <row r="11">
      <c r="A11" s="2" t="s">
        <v>86</v>
      </c>
      <c r="B11" s="45" t="s">
        <v>87</v>
      </c>
      <c r="C11" s="44"/>
      <c r="D11" s="44"/>
      <c r="E11" s="44"/>
      <c r="F11" s="44"/>
      <c r="G11" s="44"/>
      <c r="H11" s="44"/>
    </row>
    <row r="12">
      <c r="A12" s="2" t="s">
        <v>88</v>
      </c>
      <c r="B12" s="45" t="s">
        <v>89</v>
      </c>
      <c r="C12" s="44"/>
      <c r="D12" s="44"/>
      <c r="E12" s="44"/>
      <c r="F12" s="44"/>
      <c r="G12" s="44"/>
      <c r="H12" s="44"/>
    </row>
    <row r="13">
      <c r="A13" s="2" t="s">
        <v>90</v>
      </c>
      <c r="B13" s="45" t="s">
        <v>91</v>
      </c>
      <c r="C13" s="44"/>
      <c r="D13" s="44"/>
      <c r="E13" s="44"/>
      <c r="F13" s="44"/>
      <c r="G13" s="44"/>
      <c r="H13" s="44"/>
    </row>
    <row r="14">
      <c r="A14" s="2" t="s">
        <v>92</v>
      </c>
      <c r="B14" s="46" t="s">
        <v>93</v>
      </c>
      <c r="C14" s="44"/>
      <c r="D14" s="44"/>
      <c r="E14" s="44"/>
      <c r="F14" s="44"/>
      <c r="G14" s="44"/>
      <c r="H14" s="44"/>
    </row>
    <row r="15">
      <c r="A15" s="2" t="s">
        <v>94</v>
      </c>
      <c r="B15" s="46" t="s">
        <v>95</v>
      </c>
      <c r="C15" s="44"/>
      <c r="D15" s="44"/>
      <c r="E15" s="44"/>
      <c r="F15" s="44"/>
      <c r="G15" s="44"/>
      <c r="H15" s="44"/>
    </row>
    <row r="16">
      <c r="A16" s="2" t="s">
        <v>96</v>
      </c>
      <c r="B16" s="46" t="s">
        <v>97</v>
      </c>
      <c r="C16" s="44"/>
      <c r="D16" s="44"/>
      <c r="E16" s="44"/>
      <c r="F16" s="44"/>
      <c r="G16" s="44"/>
      <c r="H16" s="44"/>
    </row>
    <row r="17">
      <c r="A17" s="2" t="s">
        <v>98</v>
      </c>
      <c r="B17" s="46" t="s">
        <v>99</v>
      </c>
      <c r="C17" s="44"/>
      <c r="D17" s="44"/>
      <c r="E17" s="44"/>
      <c r="F17" s="44"/>
      <c r="G17" s="44"/>
      <c r="H17" s="44"/>
    </row>
    <row r="18">
      <c r="A18" s="2" t="s">
        <v>100</v>
      </c>
      <c r="B18" s="46" t="s">
        <v>101</v>
      </c>
      <c r="C18" s="44"/>
      <c r="D18" s="44"/>
      <c r="E18" s="44"/>
      <c r="F18" s="44"/>
      <c r="G18" s="44"/>
      <c r="H18" s="44"/>
    </row>
    <row r="19">
      <c r="A19" s="2" t="s">
        <v>102</v>
      </c>
      <c r="B19" s="46" t="s">
        <v>103</v>
      </c>
      <c r="C19" s="44"/>
      <c r="D19" s="44"/>
      <c r="E19" s="44"/>
      <c r="F19" s="44"/>
      <c r="G19" s="44"/>
      <c r="H19" s="44"/>
    </row>
    <row r="20">
      <c r="A20" s="2" t="s">
        <v>104</v>
      </c>
      <c r="B20" s="46" t="s">
        <v>103</v>
      </c>
      <c r="C20" s="44"/>
      <c r="D20" s="44"/>
      <c r="E20" s="44"/>
      <c r="F20" s="44"/>
      <c r="G20" s="44"/>
      <c r="H20" s="44"/>
    </row>
    <row r="21">
      <c r="A21" s="2" t="s">
        <v>105</v>
      </c>
      <c r="B21" s="45" t="s">
        <v>106</v>
      </c>
      <c r="C21" s="44"/>
      <c r="D21" s="44"/>
      <c r="E21" s="44"/>
      <c r="F21" s="44"/>
      <c r="G21" s="44"/>
      <c r="H21" s="44"/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orientation="landscape"/>
  <drawing r:id="rId1"/>
</worksheet>
</file>